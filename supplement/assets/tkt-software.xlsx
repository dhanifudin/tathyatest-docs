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ata wahyu\Penelitian\TKT\PROPOSED TKT\"/>
    </mc:Choice>
  </mc:AlternateContent>
  <bookViews>
    <workbookView xWindow="0" yWindow="0" windowWidth="20490" windowHeight="7905" activeTab="3"/>
  </bookViews>
  <sheets>
    <sheet name="PROFIL PENELITI" sheetId="4" r:id="rId1"/>
    <sheet name="IDENTITAS UMUM" sheetId="3" r:id="rId2"/>
    <sheet name="PENGUKURAN TKT SOFTWARE" sheetId="2" r:id="rId3"/>
    <sheet name="RINGKASAN" sheetId="5" r:id="rId4"/>
  </sheets>
  <externalReferences>
    <externalReference r:id="rId5"/>
  </externalReferences>
  <definedNames>
    <definedName name="_xlnm.Print_Area" localSheetId="0">'PROFIL PENELITI'!$A$1:$F$15</definedName>
    <definedName name="_xlnm.Print_Area" localSheetId="1">'IDENTITAS UMUM'!$A$1:$F$21</definedName>
    <definedName name="_xlnm.Print_Area" localSheetId="2">'PENGUKURAN TKT SOFTWARE'!$A$1:$I$62</definedName>
    <definedName name="_xlnm.Print_Area" localSheetId="3">RINGKASAN!$F$2:$X$45</definedName>
  </definedNames>
  <calcPr calcId="152511" fullCalcOnLoad="1"/>
</workbook>
</file>

<file path=xl/calcChain.xml><?xml version="1.0" encoding="utf-8"?>
<calcChain xmlns="http://schemas.openxmlformats.org/spreadsheetml/2006/main">
  <c r="H50" i="2" l="1"/>
  <c r="L19" i="5" l="1"/>
  <c r="L18" i="5"/>
  <c r="L17" i="5"/>
  <c r="L16" i="5"/>
  <c r="L15" i="5"/>
  <c r="L14" i="5"/>
  <c r="L13" i="5"/>
  <c r="E62" i="2" l="1"/>
  <c r="E53" i="2"/>
  <c r="G50" i="2" s="1"/>
  <c r="E47" i="2"/>
  <c r="E42" i="2"/>
  <c r="E37" i="2"/>
  <c r="E28" i="2"/>
  <c r="E14" i="2"/>
  <c r="E20" i="2"/>
  <c r="G11" i="2" l="1"/>
  <c r="H11" i="2"/>
  <c r="H23" i="2"/>
  <c r="G23" i="2"/>
  <c r="G31" i="2"/>
  <c r="H31" i="2"/>
  <c r="H40" i="2"/>
  <c r="G40" i="2"/>
  <c r="H17" i="2"/>
  <c r="G17" i="2"/>
  <c r="H45" i="2"/>
  <c r="G45" i="2"/>
  <c r="H56" i="2"/>
  <c r="G56" i="2"/>
  <c r="D46" i="5"/>
  <c r="D48" i="5"/>
  <c r="D49" i="5"/>
  <c r="D50" i="5"/>
  <c r="D53" i="5"/>
  <c r="E8" i="2"/>
  <c r="C58" i="5"/>
  <c r="U23" i="5"/>
  <c r="G5" i="2" l="1"/>
  <c r="H5" i="2"/>
  <c r="D52" i="5"/>
  <c r="C52" i="5" s="1"/>
  <c r="B52" i="5" s="1"/>
  <c r="D54" i="5"/>
  <c r="C54" i="5" s="1"/>
  <c r="B54" i="5" s="1"/>
  <c r="D47" i="5"/>
  <c r="C46" i="5" s="1"/>
  <c r="D51" i="5"/>
  <c r="C51" i="5" s="1"/>
  <c r="B51" i="5" s="1"/>
  <c r="C48" i="5"/>
  <c r="B48" i="5" s="1"/>
  <c r="C47" i="5" l="1"/>
  <c r="B47" i="5" s="1"/>
  <c r="C50" i="5"/>
  <c r="B50" i="5" s="1"/>
  <c r="C49" i="5"/>
  <c r="B49" i="5" s="1"/>
  <c r="B46" i="5"/>
  <c r="C53" i="5"/>
  <c r="B53" i="5" s="1"/>
  <c r="Q40" i="5" l="1"/>
  <c r="L23" i="5" s="1"/>
</calcChain>
</file>

<file path=xl/sharedStrings.xml><?xml version="1.0" encoding="utf-8"?>
<sst xmlns="http://schemas.openxmlformats.org/spreadsheetml/2006/main" count="228" uniqueCount="121">
  <si>
    <t>TKT 1</t>
  </si>
  <si>
    <t>Indikator</t>
  </si>
  <si>
    <t>Pengukuran</t>
  </si>
  <si>
    <t>TKT 2</t>
  </si>
  <si>
    <t>TKT 3</t>
  </si>
  <si>
    <t>TKT 4</t>
  </si>
  <si>
    <t>TKT 5</t>
  </si>
  <si>
    <t>TKT 6</t>
  </si>
  <si>
    <t>DATA TEKNOLOGI YANG DIKEMBANGKAN</t>
  </si>
  <si>
    <t>Nama Kegiatan Penelitian</t>
  </si>
  <si>
    <t>Nama Teknologi yang Dikembangkan</t>
  </si>
  <si>
    <t>Bidang Teknologi</t>
  </si>
  <si>
    <t>Semua Bidang</t>
  </si>
  <si>
    <t>Baru</t>
  </si>
  <si>
    <t>Deskripsi Teknologi</t>
  </si>
  <si>
    <t xml:space="preserve">Energi </t>
  </si>
  <si>
    <t>Berlanjut</t>
  </si>
  <si>
    <t>Status Riset</t>
  </si>
  <si>
    <t>Transportasi</t>
  </si>
  <si>
    <t>Selesai</t>
  </si>
  <si>
    <t>Publikasi</t>
  </si>
  <si>
    <t>TIK</t>
  </si>
  <si>
    <t>Pendanaan</t>
  </si>
  <si>
    <t>Hankam</t>
  </si>
  <si>
    <t>Sumber Dana</t>
  </si>
  <si>
    <t>Pangan</t>
  </si>
  <si>
    <t>Skema Pembiayaan</t>
  </si>
  <si>
    <t>Kesehatan &amp; Obat</t>
  </si>
  <si>
    <t>Besaran Dana</t>
  </si>
  <si>
    <t>Material Maju</t>
  </si>
  <si>
    <t>Koordinator Penelitian</t>
  </si>
  <si>
    <t>Sosial Humaniora</t>
  </si>
  <si>
    <t>Nama</t>
  </si>
  <si>
    <t>Maritim</t>
  </si>
  <si>
    <t>Telepon</t>
  </si>
  <si>
    <t>Kebencanaan dan Lingkungan</t>
  </si>
  <si>
    <t>Email</t>
  </si>
  <si>
    <t>Lainnya</t>
  </si>
  <si>
    <t>Alamat</t>
  </si>
  <si>
    <t>Lembaga</t>
  </si>
  <si>
    <t>TKT 7</t>
  </si>
  <si>
    <t>TKT 8</t>
  </si>
  <si>
    <t>TKT 9</t>
  </si>
  <si>
    <t>No</t>
  </si>
  <si>
    <t xml:space="preserve">Keterangan </t>
  </si>
  <si>
    <t>NILAI TKT</t>
  </si>
  <si>
    <t>PROFIL PENELITI</t>
  </si>
  <si>
    <t>Identitas Umum</t>
  </si>
  <si>
    <t>Nama Peneliti</t>
  </si>
  <si>
    <t>Jenis Lembaga</t>
  </si>
  <si>
    <t>Nama Lembaga</t>
  </si>
  <si>
    <t>Jabatan Pengusul</t>
  </si>
  <si>
    <t>NIP (Jika PNS)</t>
  </si>
  <si>
    <t>NIDN (Jika Dosen)</t>
  </si>
  <si>
    <t>Kota</t>
  </si>
  <si>
    <t>PERGURUAN TINGGI</t>
  </si>
  <si>
    <t>KOPERTIS</t>
  </si>
  <si>
    <t>LEMBAGA LPNK</t>
  </si>
  <si>
    <t>LITBANG KEMENTERIAN</t>
  </si>
  <si>
    <t>LITBANG DAERAH</t>
  </si>
  <si>
    <t>LITBANG PERUSAHAAN</t>
  </si>
  <si>
    <t>KEMENTERIAN RISET, TEKNOLOGI DAN PENDIDIKAN TINGGI</t>
  </si>
  <si>
    <t>DIREKTORAT JENDERAL PENGUATAN RISET DAN PENGEMBANGAN</t>
  </si>
  <si>
    <t>Jl. M. H. Thamrin No. 8 Jakarta Pusat 10340-Gedung II BPPT Lantai 19</t>
  </si>
  <si>
    <t>Telepon 021 3169758 Faksimile 021 3102156/31023902</t>
  </si>
  <si>
    <t>Homepage : www.ristekdikti.go.id</t>
  </si>
  <si>
    <t>RINGKASAN HASIL</t>
  </si>
  <si>
    <t>PENGUKURAN TINGKAT KESIAPTERAPAN TEKNOLOGI (TKT)</t>
  </si>
  <si>
    <t>No:</t>
  </si>
  <si>
    <t>Nama/Judul Teknologi</t>
  </si>
  <si>
    <t xml:space="preserve">Pimpinan Program / Kegiatan      </t>
  </si>
  <si>
    <t>Lembaga / Unit Pelaksana</t>
  </si>
  <si>
    <t>Alamat / Kontak</t>
  </si>
  <si>
    <t>Tanggal Pengukuran TKT</t>
  </si>
  <si>
    <t>:</t>
  </si>
  <si>
    <t>Level TKT yang dicapai    :</t>
  </si>
  <si>
    <t>(dari 9 level)</t>
  </si>
  <si>
    <t>% Komplit Indikator =</t>
  </si>
  <si>
    <t xml:space="preserve"> </t>
  </si>
  <si>
    <t>TKT-Meter</t>
  </si>
  <si>
    <t>TKT</t>
  </si>
  <si>
    <t>=</t>
  </si>
  <si>
    <t>% Set Point</t>
  </si>
  <si>
    <t>(default)</t>
  </si>
  <si>
    <t>TRL yang dicapai adalah = TRL tertinggi yang indikatornya terpenuhi</t>
  </si>
  <si>
    <t>Nilai Rata-rata</t>
  </si>
  <si>
    <t>Telp/Fax</t>
  </si>
  <si>
    <t>INDIKATOR TKT BIDANG SOFTWARE</t>
  </si>
  <si>
    <t xml:space="preserve">Merupakan tingkat terendah dari kesiapan teknologi perangkat lunak </t>
  </si>
  <si>
    <t>Merupakan ranah baru dalam perangkat lunak yang sedang didalami oleh komunitas riset dasar</t>
  </si>
  <si>
    <t>Mencakup juga pengembangan dari penggunaan tingkat dasar, sifat dasar dari arsitektur perangkat lunak, formulasi matematika, dan algoritma umum</t>
  </si>
  <si>
    <t>Setelah prinsip dasar teramati, berlanjut pada pembuatan aplikasi yang bersifat praktis</t>
  </si>
  <si>
    <t>Aplikasi bersifat spekulatif, dan terdapat kemungkinan tidak memiliki bukti atau analisis rinci untuk mendukung asumsi yang ada/dilakukan</t>
  </si>
  <si>
    <t>Contoh-contoh dibatasi pada studi analitik dengan menggunakan data sintetis (buatan)</t>
  </si>
  <si>
    <t>Terdapat inisiasi proses penelitian dan pengembangan yang dilakukan secara aktif</t>
  </si>
  <si>
    <t>Kelayakan ilmiah ditunjukkan melalui studi analitik dan laboratorium</t>
  </si>
  <si>
    <t>Mencakup juga pengembangan dari lingkungan fungsi terbatas untuk memvalidasi sifat kritis dan prediksi analitis menggunakan : (1) komponen perangkat lunak yang  tidak terintegrasi dan (2) sebagian data yang mewakili</t>
  </si>
  <si>
    <t>Komponen dasar dari perangkat lunak dasar terintegrasi bekerja secara bersama-sama</t>
  </si>
  <si>
    <t>Relatif primitif bila sisi efisiensi dan kehandalan (robustness) dibandingkan dengan sistem/produk akhirnya</t>
  </si>
  <si>
    <t>Pengembangan arsitektur dimulai dengan cakupan isu-isu terkait interoperabilitas, kehandalan, kemudahan pemeliharaan, kemampuan peningkatan, skalabilitas, dan keamanan</t>
  </si>
  <si>
    <t>Terdapat usaha penyesuaian dengan elemen (teknologi) terkini</t>
  </si>
  <si>
    <t>Prototipe yang ada dikembangkan untuk menunjukkan aspek yang berbeda pada sistem/produk akhirnya</t>
  </si>
  <si>
    <t>Merupakan tingkatan dimana teknologi perangkat lunak yang dikembangkan siap untuk diintegrasikan dengan sistem eksisting</t>
  </si>
  <si>
    <t>Implementasi prototipe yang sesuai/patuh dengan lingkungan/antarmuka dari target</t>
  </si>
  <si>
    <t>Dilakukan eksperimen terhadap permasalahan yang sesungguhnya (real)</t>
  </si>
  <si>
    <t>Melakukan simulasi terhadap antarmuka dari sistem eksisting</t>
  </si>
  <si>
    <t>Arsitektur perangkat lunak sistem selesai</t>
  </si>
  <si>
    <t xml:space="preserve">Algoritma berjalan pada (multi) prosesor di lingkungan operasional dengan karakteristik yang sesuai ekspektasi </t>
  </si>
  <si>
    <t>Merupakan tingkatan dimana kelayakan rekayasa dari teknologi perangkat lunak ditunjukkan</t>
  </si>
  <si>
    <t>Mencakup juga implementasi prototipe laboratorium dengan permasalahan realistik skala penuh, dimana teknologi perangkat lunak terintegrasi secara parsial dengan perangkat keras/lunak dari sistem eksisting</t>
  </si>
  <si>
    <t>Merupakan tingkatan dimana kelayakan program dari teknologi perangkat lunak ditunjukkan</t>
  </si>
  <si>
    <t>Mencakup juga implementasi prototipe lingkungan operasional, dimana fungsi risiko teknis yang bersifat kritikal tersedia untuk ditunjukkan dan diuji dalam kondisi teknologi perangkat lunak tersebut terintegrasi secara baik dengan perangkat keras/lunak dari sistem operasional</t>
  </si>
  <si>
    <t>Merupakan tingkatan dimana teknologi perangkat lunak terintegrasi sepenuhnya dengan perangkat keras dan lunak dari sistem operasional</t>
  </si>
  <si>
    <t>Dokumentasi pengembangan perangkat lunak lengkap</t>
  </si>
  <si>
    <t>Semua fungsi diuji baik dalam skenario simulasi maupun operasional</t>
  </si>
  <si>
    <t>Merupakan tingkatan dimana teknologi perangkat lunak tersebut siap untuk dikembangkan maupun dipakai secara berulang (rapid development/re-use)</t>
  </si>
  <si>
    <t>Perangkat lunak berbasis teknologi yang sepenuhnya terintegrasi dengan perangkat keras/lunak dari sistem operasional</t>
  </si>
  <si>
    <t>Semua dokumentasi perangkat lunak telah diverifikasi</t>
  </si>
  <si>
    <t>Memiliki pengalaman sukses dari sisi operasional</t>
  </si>
  <si>
    <t>Terdapat dukungan berkelanjutan terhadap rekayasa perangkat lunak</t>
  </si>
  <si>
    <t>Sistem bersifat aktual (benar-benar ada dan dipergunakan)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</si>
</sst>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mmdd"/>
    <numFmt numFmtId="165" formatCode="\-000"/>
    <numFmt numFmtId="166" formatCode="[$-409]dd\-mmm\-yy;@"/>
    <numFmt numFmtId="167" formatCode="0.0%"/>
  </numFmts>
  <fonts count="45"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color rgb="FF444444"/>
      <name val="Arial"/>
      <family val="2"/>
    </font>
    <font>
      <b/>
      <sz val="12"/>
      <color rgb="FFFF0000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1"/>
      <name val="Vogel"/>
    </font>
    <font>
      <b/>
      <sz val="10"/>
      <name val="Vogel"/>
    </font>
    <font>
      <b/>
      <sz val="14"/>
      <name val="Vogel"/>
    </font>
    <font>
      <b/>
      <sz val="14"/>
      <color indexed="10"/>
      <name val="Vogel"/>
    </font>
    <font>
      <b/>
      <sz val="12"/>
      <name val="Vogel"/>
    </font>
    <font>
      <sz val="12"/>
      <name val="Vogel"/>
    </font>
    <font>
      <b/>
      <sz val="20"/>
      <name val="VogelCondensed"/>
    </font>
    <font>
      <b/>
      <sz val="36"/>
      <name val="VogelWide"/>
    </font>
    <font>
      <b/>
      <sz val="16"/>
      <name val="VogelCondensed"/>
    </font>
    <font>
      <b/>
      <sz val="12"/>
      <name val="Vogel"/>
      <charset val="1"/>
    </font>
    <font>
      <b/>
      <sz val="10"/>
      <name val="VogelCondensed"/>
    </font>
    <font>
      <sz val="16"/>
      <name val="Baskerville Old Face"/>
      <family val="1"/>
    </font>
    <font>
      <sz val="10"/>
      <color indexed="10"/>
      <name val="Arial"/>
      <family val="2"/>
    </font>
    <font>
      <b/>
      <sz val="36"/>
      <color rgb="FFFF0000"/>
      <name val="Calibri"/>
      <family val="2"/>
      <scheme val="minor"/>
    </font>
    <font>
      <b/>
      <sz val="12"/>
      <color indexed="10"/>
      <name val="VogelWide"/>
    </font>
    <font>
      <sz val="10"/>
      <color indexed="12"/>
      <name val="Arial"/>
      <family val="2"/>
    </font>
    <font>
      <sz val="12"/>
      <color indexed="10"/>
      <name val="Hanzel"/>
    </font>
    <font>
      <b/>
      <sz val="14"/>
      <name val="Antiqua101Condensed"/>
    </font>
    <font>
      <sz val="14"/>
      <color indexed="12"/>
      <name val="Antiqua101Condensed"/>
    </font>
    <font>
      <b/>
      <sz val="40"/>
      <name val="Calibri"/>
      <family val="2"/>
      <scheme val="minor"/>
    </font>
    <font>
      <b/>
      <sz val="18"/>
      <name val="Arial"/>
      <family val="2"/>
    </font>
    <font>
      <sz val="36"/>
      <color indexed="17"/>
      <name val="VogelWide"/>
    </font>
    <font>
      <sz val="18"/>
      <name val="Antiqua101"/>
    </font>
    <font>
      <b/>
      <sz val="10"/>
      <color indexed="17"/>
      <name val="Cupid"/>
    </font>
    <font>
      <b/>
      <sz val="10"/>
      <name val="Cupid"/>
    </font>
    <font>
      <b/>
      <sz val="10"/>
      <name val="Arial"/>
      <family val="2"/>
    </font>
    <font>
      <sz val="10"/>
      <color indexed="10"/>
      <name val="Cupid"/>
    </font>
    <font>
      <sz val="10"/>
      <name val="Antiqua101"/>
    </font>
    <font>
      <sz val="10"/>
      <name val="Ameretto"/>
    </font>
    <font>
      <b/>
      <sz val="10"/>
      <color indexed="10"/>
      <name val="Arial"/>
      <family val="2"/>
    </font>
    <font>
      <sz val="26"/>
      <color indexed="12"/>
      <name val="Arial"/>
      <family val="2"/>
    </font>
    <font>
      <b/>
      <sz val="18"/>
      <name val="Vogel"/>
    </font>
    <font>
      <b/>
      <sz val="12"/>
      <name val="Arial"/>
      <family val="2"/>
    </font>
    <font>
      <b/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183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3" xfId="0" applyBorder="1" applyAlignment="1">
      <alignment horizontal="righ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righ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0" xfId="0" applyFont="1" applyBorder="1" applyAlignment="1">
      <alignment vertical="top" wrapText="1"/>
    </xf>
    <xf numFmtId="0" fontId="15" fillId="0" borderId="16" xfId="0" applyFont="1" applyBorder="1" applyAlignment="1">
      <alignment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0" xfId="0" quotePrefix="1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top" wrapText="1"/>
    </xf>
    <xf numFmtId="0" fontId="0" fillId="8" borderId="7" xfId="0" applyFont="1" applyFill="1" applyBorder="1" applyAlignment="1">
      <alignment horizontal="left" vertical="top" wrapText="1"/>
    </xf>
    <xf numFmtId="0" fontId="0" fillId="8" borderId="8" xfId="0" applyFont="1" applyFill="1" applyBorder="1" applyAlignment="1">
      <alignment horizontal="left" vertical="top" wrapText="1"/>
    </xf>
    <xf numFmtId="0" fontId="23" fillId="8" borderId="8" xfId="0" applyFont="1" applyFill="1" applyBorder="1" applyAlignment="1">
      <alignment horizontal="center" vertical="top" wrapText="1"/>
    </xf>
    <xf numFmtId="0" fontId="0" fillId="8" borderId="9" xfId="0" applyFont="1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8" borderId="10" xfId="0" applyFont="1" applyFill="1" applyBorder="1" applyAlignment="1">
      <alignment horizontal="left" vertical="top" wrapText="1"/>
    </xf>
    <xf numFmtId="0" fontId="0" fillId="9" borderId="0" xfId="0" applyFont="1" applyFill="1" applyBorder="1" applyAlignment="1">
      <alignment horizontal="left" vertical="top" wrapText="1"/>
    </xf>
    <xf numFmtId="0" fontId="23" fillId="9" borderId="0" xfId="0" applyFont="1" applyFill="1" applyBorder="1" applyAlignment="1">
      <alignment horizontal="center" vertical="top" wrapText="1"/>
    </xf>
    <xf numFmtId="0" fontId="0" fillId="8" borderId="11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0" fillId="8" borderId="10" xfId="0" applyFill="1" applyBorder="1" applyAlignment="1">
      <alignment horizontal="left" vertical="top" wrapText="1"/>
    </xf>
    <xf numFmtId="0" fontId="0" fillId="9" borderId="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25" fillId="9" borderId="0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left" vertical="top" wrapText="1"/>
    </xf>
    <xf numFmtId="0" fontId="0" fillId="11" borderId="0" xfId="0" applyFill="1" applyBorder="1" applyAlignment="1">
      <alignment horizontal="left" vertical="top" wrapText="1"/>
    </xf>
    <xf numFmtId="0" fontId="0" fillId="11" borderId="0" xfId="0" applyFill="1" applyBorder="1" applyAlignment="1">
      <alignment horizontal="right" vertical="top" wrapText="1"/>
    </xf>
    <xf numFmtId="0" fontId="26" fillId="11" borderId="0" xfId="0" applyFont="1" applyFill="1" applyBorder="1" applyAlignment="1">
      <alignment horizontal="center" vertical="top" wrapText="1"/>
    </xf>
    <xf numFmtId="0" fontId="27" fillId="11" borderId="0" xfId="0" applyFont="1" applyFill="1" applyBorder="1" applyAlignment="1">
      <alignment horizontal="center" vertical="center" textRotation="255" wrapText="1"/>
    </xf>
    <xf numFmtId="0" fontId="28" fillId="12" borderId="0" xfId="0" applyFont="1" applyFill="1" applyBorder="1" applyAlignment="1">
      <alignment horizontal="right" vertical="top" wrapText="1"/>
    </xf>
    <xf numFmtId="0" fontId="29" fillId="12" borderId="17" xfId="0" applyFont="1" applyFill="1" applyBorder="1" applyAlignment="1">
      <alignment horizontal="left" vertical="center" wrapText="1"/>
    </xf>
    <xf numFmtId="10" fontId="29" fillId="12" borderId="23" xfId="0" applyNumberFormat="1" applyFont="1" applyFill="1" applyBorder="1" applyAlignment="1">
      <alignment horizontal="left" vertical="center" wrapText="1"/>
    </xf>
    <xf numFmtId="0" fontId="28" fillId="12" borderId="0" xfId="0" applyFont="1" applyFill="1" applyBorder="1" applyAlignment="1">
      <alignment horizontal="left" vertical="center" wrapText="1"/>
    </xf>
    <xf numFmtId="10" fontId="29" fillId="12" borderId="24" xfId="0" applyNumberFormat="1" applyFont="1" applyFill="1" applyBorder="1" applyAlignment="1">
      <alignment horizontal="left" vertical="center" wrapText="1"/>
    </xf>
    <xf numFmtId="10" fontId="29" fillId="12" borderId="25" xfId="0" applyNumberFormat="1" applyFont="1" applyFill="1" applyBorder="1" applyAlignment="1">
      <alignment horizontal="left" vertical="center" wrapText="1"/>
    </xf>
    <xf numFmtId="0" fontId="31" fillId="11" borderId="0" xfId="0" applyFont="1" applyFill="1" applyBorder="1" applyAlignment="1">
      <alignment horizontal="left" vertical="center" wrapText="1"/>
    </xf>
    <xf numFmtId="0" fontId="32" fillId="3" borderId="26" xfId="0" applyFont="1" applyFill="1" applyBorder="1" applyAlignment="1">
      <alignment horizontal="center" vertical="center" wrapText="1"/>
    </xf>
    <xf numFmtId="0" fontId="33" fillId="11" borderId="0" xfId="0" applyFont="1" applyFill="1" applyBorder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13" borderId="0" xfId="0" applyFont="1" applyFill="1" applyBorder="1" applyAlignment="1">
      <alignment horizontal="left" vertical="top" wrapText="1"/>
    </xf>
    <xf numFmtId="0" fontId="34" fillId="13" borderId="0" xfId="0" applyFont="1" applyFill="1" applyBorder="1" applyAlignment="1">
      <alignment horizontal="right" vertical="center" wrapText="1"/>
    </xf>
    <xf numFmtId="0" fontId="35" fillId="13" borderId="0" xfId="0" applyFont="1" applyFill="1" applyBorder="1" applyAlignment="1">
      <alignment horizontal="right" vertical="center" wrapText="1"/>
    </xf>
    <xf numFmtId="0" fontId="36" fillId="13" borderId="0" xfId="0" applyFont="1" applyFill="1" applyBorder="1" applyAlignment="1">
      <alignment horizontal="left" vertical="center" wrapText="1"/>
    </xf>
    <xf numFmtId="0" fontId="37" fillId="13" borderId="0" xfId="0" applyFont="1" applyFill="1" applyBorder="1" applyAlignment="1">
      <alignment horizontal="center" vertical="center" wrapText="1"/>
    </xf>
    <xf numFmtId="0" fontId="38" fillId="13" borderId="0" xfId="0" applyFont="1" applyFill="1" applyBorder="1" applyAlignment="1">
      <alignment vertical="top" wrapText="1"/>
    </xf>
    <xf numFmtId="0" fontId="0" fillId="0" borderId="16" xfId="0" applyFont="1" applyBorder="1" applyAlignment="1">
      <alignment horizontal="left" vertical="top" wrapText="1"/>
    </xf>
    <xf numFmtId="0" fontId="39" fillId="0" borderId="0" xfId="0" applyFont="1" applyAlignment="1">
      <alignment horizontal="center" vertical="top" wrapText="1"/>
    </xf>
    <xf numFmtId="0" fontId="39" fillId="0" borderId="15" xfId="0" applyFont="1" applyBorder="1" applyAlignment="1">
      <alignment horizontal="center" vertical="top" wrapText="1"/>
    </xf>
    <xf numFmtId="0" fontId="39" fillId="0" borderId="0" xfId="0" applyFont="1" applyBorder="1" applyAlignment="1">
      <alignment horizontal="center" vertical="top" wrapText="1"/>
    </xf>
    <xf numFmtId="0" fontId="39" fillId="8" borderId="12" xfId="0" applyFont="1" applyFill="1" applyBorder="1" applyAlignment="1">
      <alignment horizontal="center" vertical="top" wrapText="1"/>
    </xf>
    <xf numFmtId="0" fontId="39" fillId="8" borderId="13" xfId="0" applyFont="1" applyFill="1" applyBorder="1" applyAlignment="1">
      <alignment horizontal="center" vertical="top" wrapText="1"/>
    </xf>
    <xf numFmtId="0" fontId="0" fillId="8" borderId="13" xfId="0" applyFill="1" applyBorder="1" applyAlignment="1">
      <alignment horizontal="left" vertical="top" wrapText="1"/>
    </xf>
    <xf numFmtId="0" fontId="0" fillId="8" borderId="13" xfId="0" applyFill="1" applyBorder="1" applyAlignment="1">
      <alignment horizontal="right" vertical="top" wrapText="1"/>
    </xf>
    <xf numFmtId="0" fontId="0" fillId="8" borderId="14" xfId="0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39" fillId="0" borderId="27" xfId="0" applyFont="1" applyBorder="1" applyAlignment="1">
      <alignment horizontal="center" vertical="top" wrapText="1"/>
    </xf>
    <xf numFmtId="0" fontId="39" fillId="0" borderId="28" xfId="0" applyFont="1" applyBorder="1" applyAlignment="1">
      <alignment horizontal="center" vertical="top" wrapText="1"/>
    </xf>
    <xf numFmtId="0" fontId="39" fillId="0" borderId="28" xfId="0" applyFont="1" applyFill="1" applyBorder="1" applyAlignment="1">
      <alignment horizontal="center" vertical="top" wrapText="1"/>
    </xf>
    <xf numFmtId="0" fontId="0" fillId="0" borderId="28" xfId="0" applyFill="1" applyBorder="1" applyAlignment="1">
      <alignment horizontal="left" vertical="top" wrapText="1"/>
    </xf>
    <xf numFmtId="0" fontId="0" fillId="0" borderId="28" xfId="0" applyFill="1" applyBorder="1" applyAlignment="1">
      <alignment horizontal="right" vertical="top" wrapText="1"/>
    </xf>
    <xf numFmtId="0" fontId="0" fillId="0" borderId="29" xfId="0" applyBorder="1" applyAlignment="1">
      <alignment horizontal="left" vertical="top" wrapText="1"/>
    </xf>
    <xf numFmtId="0" fontId="39" fillId="0" borderId="30" xfId="0" applyFont="1" applyBorder="1" applyAlignment="1">
      <alignment horizontal="center" vertical="top" wrapText="1"/>
    </xf>
    <xf numFmtId="0" fontId="39" fillId="0" borderId="30" xfId="0" applyFont="1" applyFill="1" applyBorder="1" applyAlignment="1">
      <alignment horizontal="center" vertical="top" wrapText="1"/>
    </xf>
    <xf numFmtId="0" fontId="0" fillId="0" borderId="30" xfId="0" applyFill="1" applyBorder="1" applyAlignment="1">
      <alignment horizontal="left" vertical="top" wrapText="1"/>
    </xf>
    <xf numFmtId="0" fontId="0" fillId="0" borderId="30" xfId="0" applyFill="1" applyBorder="1" applyAlignment="1">
      <alignment horizontal="right" vertical="top" wrapText="1"/>
    </xf>
    <xf numFmtId="0" fontId="0" fillId="0" borderId="30" xfId="0" applyBorder="1" applyAlignment="1">
      <alignment horizontal="left" vertical="top" wrapText="1"/>
    </xf>
    <xf numFmtId="0" fontId="10" fillId="14" borderId="1" xfId="1" applyFill="1" applyBorder="1" applyAlignment="1" applyProtection="1">
      <alignment vertical="top"/>
    </xf>
    <xf numFmtId="0" fontId="40" fillId="11" borderId="1" xfId="0" applyFont="1" applyFill="1" applyBorder="1" applyAlignment="1">
      <alignment horizontal="center" vertical="top" wrapText="1"/>
    </xf>
    <xf numFmtId="0" fontId="39" fillId="0" borderId="0" xfId="0" applyFont="1" applyAlignment="1">
      <alignment horizontal="left" vertical="top" wrapText="1"/>
    </xf>
    <xf numFmtId="0" fontId="39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horizontal="center" vertical="top" wrapText="1"/>
    </xf>
    <xf numFmtId="0" fontId="41" fillId="0" borderId="0" xfId="0" applyFont="1" applyBorder="1" applyAlignment="1">
      <alignment horizontal="center" vertical="top" wrapText="1"/>
    </xf>
    <xf numFmtId="0" fontId="41" fillId="0" borderId="0" xfId="0" applyFont="1" applyAlignment="1">
      <alignment horizontal="center" vertical="top" wrapText="1"/>
    </xf>
    <xf numFmtId="167" fontId="39" fillId="0" borderId="1" xfId="0" applyNumberFormat="1" applyFont="1" applyFill="1" applyBorder="1" applyAlignment="1">
      <alignment horizontal="left" vertical="top" wrapText="1"/>
    </xf>
    <xf numFmtId="167" fontId="10" fillId="15" borderId="31" xfId="1" applyNumberFormat="1" applyFill="1" applyBorder="1" applyAlignment="1" applyProtection="1">
      <alignment horizontal="right"/>
      <protection locked="0"/>
    </xf>
    <xf numFmtId="0" fontId="0" fillId="0" borderId="0" xfId="0" quotePrefix="1" applyAlignment="1">
      <alignment horizontal="left" vertical="top" wrapText="1"/>
    </xf>
    <xf numFmtId="0" fontId="2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9" fontId="2" fillId="3" borderId="0" xfId="0" applyNumberFormat="1" applyFont="1" applyFill="1"/>
    <xf numFmtId="0" fontId="2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3" borderId="0" xfId="0" applyFill="1"/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67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/>
    </xf>
    <xf numFmtId="0" fontId="7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43" fillId="0" borderId="0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164" fontId="13" fillId="0" borderId="17" xfId="0" applyNumberFormat="1" applyFont="1" applyBorder="1" applyAlignment="1">
      <alignment horizontal="right" vertical="top" wrapText="1"/>
    </xf>
    <xf numFmtId="165" fontId="13" fillId="0" borderId="17" xfId="0" applyNumberFormat="1" applyFont="1" applyBorder="1" applyAlignment="1">
      <alignment horizontal="left" vertical="top" wrapText="1"/>
    </xf>
    <xf numFmtId="165" fontId="13" fillId="0" borderId="3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39" fillId="0" borderId="0" xfId="0" applyFont="1" applyAlignment="1">
      <alignment horizontal="center" vertical="top" wrapText="1"/>
    </xf>
    <xf numFmtId="0" fontId="42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166" fontId="15" fillId="0" borderId="0" xfId="0" applyNumberFormat="1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19" xfId="0" quotePrefix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9" fontId="20" fillId="0" borderId="19" xfId="0" applyNumberFormat="1" applyFont="1" applyBorder="1" applyAlignment="1">
      <alignment horizontal="center" vertical="center" wrapText="1"/>
    </xf>
    <xf numFmtId="9" fontId="20" fillId="0" borderId="22" xfId="0" applyNumberFormat="1" applyFont="1" applyBorder="1" applyAlignment="1">
      <alignment horizontal="center" vertical="center" wrapText="1"/>
    </xf>
    <xf numFmtId="0" fontId="24" fillId="10" borderId="12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24" fillId="10" borderId="14" xfId="0" applyFont="1" applyFill="1" applyBorder="1" applyAlignment="1">
      <alignment horizontal="center" vertical="center" wrapText="1"/>
    </xf>
    <xf numFmtId="0" fontId="27" fillId="11" borderId="0" xfId="0" applyFont="1" applyFill="1" applyBorder="1" applyAlignment="1">
      <alignment horizontal="center" vertical="center" textRotation="255" wrapText="1"/>
    </xf>
    <xf numFmtId="0" fontId="30" fillId="11" borderId="0" xfId="0" applyFont="1" applyFill="1" applyBorder="1" applyAlignment="1">
      <alignment horizontal="right" vertical="center" wrapText="1"/>
    </xf>
    <xf numFmtId="0" fontId="2" fillId="3" borderId="33" xfId="0" applyFont="1" applyFill="1" applyBorder="1" applyProtection="1">
      <protection locked="0"/>
    </xf>
    <xf numFmtId="0" fontId="2" fillId="3" borderId="32" xfId="0" applyFont="1" applyFill="1" applyBorder="1" applyProtection="1">
      <protection locked="0"/>
    </xf>
    <xf numFmtId="0" fontId="2" fillId="3" borderId="35" xfId="0" applyFont="1" applyFill="1" applyBorder="1" applyProtection="1">
      <protection locked="0"/>
    </xf>
    <xf numFmtId="0" fontId="2" fillId="3" borderId="34" xfId="0" applyFont="1" applyFill="1" applyBorder="1" applyProtection="1">
      <protection locked="0"/>
    </xf>
    <xf numFmtId="9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 applyProtection="1">
      <alignment vertical="center" wrapText="1"/>
      <protection locked="0"/>
    </xf>
    <xf numFmtId="0" fontId="2" fillId="3" borderId="32" xfId="0" applyFont="1" applyFill="1" applyBorder="1" applyAlignment="1" applyProtection="1">
      <alignment vertical="center" wrapText="1"/>
      <protection locked="0"/>
    </xf>
    <xf numFmtId="0" fontId="2" fillId="3" borderId="35" xfId="0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TRL Steps" xfId="1"/>
  </cellStyles>
  <dxfs count="56">
    <dxf>
      <fill>
        <patternFill>
          <bgColor indexed="9"/>
        </patternFill>
      </fill>
    </dxf>
    <dxf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53"/>
        </patternFill>
      </fill>
    </dxf>
    <dxf>
      <font>
        <b/>
        <i val="0"/>
        <condense val="0"/>
        <extend val="0"/>
        <color indexed="8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53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7"/>
        </patternFill>
      </fill>
    </dxf>
    <dxf>
      <font>
        <condense val="0"/>
        <extend val="0"/>
        <color indexed="10"/>
      </font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53"/>
        </patternFill>
      </fill>
    </dxf>
    <dxf>
      <font>
        <b/>
        <i val="0"/>
        <condense val="0"/>
        <extend val="0"/>
        <color indexed="8"/>
      </font>
      <fill>
        <patternFill>
          <bgColor indexed="17"/>
        </patternFill>
      </fill>
    </dxf>
    <dxf>
      <font>
        <b/>
        <i val="0"/>
        <condense val="0"/>
        <extend val="0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53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7"/>
        </patternFill>
      </fill>
    </dxf>
    <dxf>
      <font>
        <condense val="0"/>
        <extend val="0"/>
        <color indexed="10"/>
      </font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  <dxf>
      <fill>
        <patternFill>
          <bgColor indexed="9"/>
        </patternFill>
      </fill>
    </dxf>
    <dxf>
      <fill>
        <patternFill>
          <bgColor indexed="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6" fmlaLink="D7" fmlaRange="$V$7:$V$14" sel="0" val="0"/>
</file>

<file path=xl/ctrlProps/ctrlProp2.xml><?xml version="1.0" encoding="utf-8"?>
<formControlPr xmlns="http://schemas.microsoft.com/office/spreadsheetml/2009/9/main" objectType="Drop" dropLines="3" dropStyle="combo" dx="16" fmlaLink="D9" fmlaRange="$Z$7:$Z$9" sel="0" val="0"/>
</file>

<file path=xl/ctrlProps/ctrlProp3.xml><?xml version="1.0" encoding="utf-8"?>
<formControlPr xmlns="http://schemas.microsoft.com/office/spreadsheetml/2009/9/main" objectType="Drop" dropStyle="combo" dx="16" fmlaLink="E7" fmlaRange="$W$7:$W$14" sel="0" val="0"/>
</file>

<file path=xl/ctrlProps/ctrlProp4.xml><?xml version="1.0" encoding="utf-8"?>
<formControlPr xmlns="http://schemas.microsoft.com/office/spreadsheetml/2009/9/main" objectType="Drop" dropLines="3" dropStyle="combo" dx="16" fmlaLink="E9" fmlaRange="$AA$7:$AA$9" sel="0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9525</xdr:rowOff>
        </xdr:from>
        <xdr:to>
          <xdr:col>3</xdr:col>
          <xdr:colOff>0</xdr:colOff>
          <xdr:row>6</xdr:row>
          <xdr:rowOff>142875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9525</xdr:rowOff>
        </xdr:from>
        <xdr:to>
          <xdr:col>3</xdr:col>
          <xdr:colOff>0</xdr:colOff>
          <xdr:row>8</xdr:row>
          <xdr:rowOff>142875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9525</xdr:rowOff>
        </xdr:from>
        <xdr:to>
          <xdr:col>4</xdr:col>
          <xdr:colOff>0</xdr:colOff>
          <xdr:row>6</xdr:row>
          <xdr:rowOff>142875</xdr:rowOff>
        </xdr:to>
        <xdr:sp macro="" textlink="">
          <xdr:nvSpPr>
            <xdr:cNvPr id="5134" name="Drop Down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9525</xdr:rowOff>
        </xdr:from>
        <xdr:to>
          <xdr:col>4</xdr:col>
          <xdr:colOff>0</xdr:colOff>
          <xdr:row>8</xdr:row>
          <xdr:rowOff>142875</xdr:rowOff>
        </xdr:to>
        <xdr:sp macro="" textlink="">
          <xdr:nvSpPr>
            <xdr:cNvPr id="5135" name="Drop Down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27</xdr:row>
      <xdr:rowOff>133350</xdr:rowOff>
    </xdr:from>
    <xdr:to>
      <xdr:col>7</xdr:col>
      <xdr:colOff>1600200</xdr:colOff>
      <xdr:row>41</xdr:row>
      <xdr:rowOff>152400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-5400000">
          <a:off x="1485900" y="9277350"/>
          <a:ext cx="4848225" cy="1209675"/>
        </a:xfrm>
        <a:custGeom>
          <a:avLst/>
          <a:gdLst>
            <a:gd name="T0" fmla="*/ 2147483647 w 21600"/>
            <a:gd name="T1" fmla="*/ 0 h 21600"/>
            <a:gd name="T2" fmla="*/ 0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4603 h 21600"/>
            <a:gd name="T14" fmla="*/ 19721 w 21600"/>
            <a:gd name="T15" fmla="*/ 1699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8325" y="0"/>
              </a:moveTo>
              <a:lnTo>
                <a:pt x="18325" y="4603"/>
              </a:lnTo>
              <a:lnTo>
                <a:pt x="3375" y="4603"/>
              </a:lnTo>
              <a:lnTo>
                <a:pt x="3375" y="16997"/>
              </a:lnTo>
              <a:lnTo>
                <a:pt x="18325" y="16997"/>
              </a:lnTo>
              <a:lnTo>
                <a:pt x="18325" y="21600"/>
              </a:lnTo>
              <a:lnTo>
                <a:pt x="21600" y="10800"/>
              </a:lnTo>
              <a:close/>
            </a:path>
            <a:path w="21600" h="21600">
              <a:moveTo>
                <a:pt x="1350" y="4603"/>
              </a:moveTo>
              <a:lnTo>
                <a:pt x="1350" y="16997"/>
              </a:lnTo>
              <a:lnTo>
                <a:pt x="2700" y="16997"/>
              </a:lnTo>
              <a:lnTo>
                <a:pt x="2700" y="4603"/>
              </a:lnTo>
              <a:close/>
            </a:path>
            <a:path w="21600" h="21600">
              <a:moveTo>
                <a:pt x="0" y="4603"/>
              </a:moveTo>
              <a:lnTo>
                <a:pt x="0" y="16997"/>
              </a:lnTo>
              <a:lnTo>
                <a:pt x="675" y="16997"/>
              </a:lnTo>
              <a:lnTo>
                <a:pt x="675" y="4603"/>
              </a:lnTo>
              <a:close/>
            </a:path>
          </a:pathLst>
        </a:custGeom>
        <a:gradFill rotWithShape="1">
          <a:gsLst>
            <a:gs pos="0">
              <a:srgbClr val="FF0000">
                <a:alpha val="79999"/>
              </a:srgbClr>
            </a:gs>
            <a:gs pos="100000">
              <a:srgbClr val="006600"/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  <a:effectLst>
          <a:glow rad="228600">
            <a:schemeClr val="accent3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txBody>
        <a:bodyPr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638175</xdr:colOff>
          <xdr:row>1</xdr:row>
          <xdr:rowOff>76200</xdr:rowOff>
        </xdr:from>
        <xdr:to>
          <xdr:col>7</xdr:col>
          <xdr:colOff>1657350</xdr:colOff>
          <xdr:row>7</xdr:row>
          <xdr:rowOff>95250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-Penghitungan%20TKT_farmas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 Farmasi"/>
      <sheetName val="Display TKT"/>
      <sheetName val="Penjelasan TKT"/>
    </sheetNames>
    <sheetDataSet>
      <sheetData sheetId="0">
        <row r="11">
          <cell r="Q11">
            <v>0.8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AA21"/>
  <sheetViews>
    <sheetView workbookViewId="0">
      <selection activeCell="E5" sqref="E5:E14"/>
    </sheetView>
  </sheetViews>
  <sheetFormatPr defaultColWidth="0" defaultRowHeight="15" customHeight="1" zeroHeight="1"/>
  <cols>
    <col min="1" max="1" width="3.85546875" bestFit="1" customWidth="1"/>
    <col min="2" max="2" width="9.140625" customWidth="1"/>
    <col min="3" max="3" width="34.28515625" bestFit="1" customWidth="1"/>
    <col min="4" max="4" width="4.140625" customWidth="1"/>
    <col min="5" max="5" width="65.140625" customWidth="1"/>
    <col min="6" max="6" width="9.140625" customWidth="1"/>
    <col min="7" max="16384" width="9.140625" hidden="1"/>
  </cols>
  <sheetData>
    <row r="1" spans="1:27" ht="15" customHeight="1">
      <c r="A1" s="2"/>
      <c r="B1" s="2"/>
      <c r="C1" s="2"/>
      <c r="D1" s="2"/>
      <c r="E1" s="2"/>
      <c r="F1" s="2"/>
    </row>
    <row r="2" spans="1:27" ht="20.25">
      <c r="A2" s="124" t="s">
        <v>46</v>
      </c>
      <c r="B2" s="124"/>
      <c r="C2" s="124"/>
      <c r="D2" s="124"/>
      <c r="E2" s="124"/>
      <c r="F2" s="124"/>
    </row>
    <row r="3" spans="1:27" ht="15.75">
      <c r="A3" s="3"/>
      <c r="B3" s="3"/>
      <c r="C3" s="3"/>
      <c r="D3" s="3"/>
      <c r="E3" s="3"/>
      <c r="F3" s="2"/>
    </row>
    <row r="4" spans="1:27" ht="16.5" thickBot="1">
      <c r="A4" s="122"/>
      <c r="B4" s="122"/>
      <c r="C4" s="122"/>
      <c r="D4" s="120"/>
      <c r="E4" s="3"/>
      <c r="F4" s="2"/>
    </row>
    <row r="5" spans="1:27" ht="16.5" thickBot="1">
      <c r="A5" s="3">
        <v>1</v>
      </c>
      <c r="B5" s="123" t="s">
        <v>48</v>
      </c>
      <c r="C5" s="123"/>
      <c r="D5" s="121" t="s">
        <v>74</v>
      </c>
      <c r="E5" s="175" t="inlineStr">
        <is>
          <t>Dian Hanifudin Subhi, S.Kom., M.Kom.</t>
        </is>
      </c>
      <c r="F5" s="2"/>
    </row>
    <row r="6" spans="1:27" ht="16.5" thickBot="1">
      <c r="A6" s="3">
        <v>2</v>
      </c>
      <c r="B6" s="3" t="s">
        <v>49</v>
      </c>
      <c r="C6" s="3"/>
      <c r="D6" s="121" t="s">
        <v>74</v>
      </c>
      <c r="E6" s="176" t="inlineStr">
        <is>
          <t>PERGURUAN TINGGI</t>
        </is>
      </c>
      <c r="F6" s="2"/>
    </row>
    <row r="7" spans="1:27" ht="16.5" thickBot="1">
      <c r="A7" s="3">
        <v>3</v>
      </c>
      <c r="B7" s="3" t="s">
        <v>50</v>
      </c>
      <c r="C7" s="3"/>
      <c r="D7" s="121" t="s">
        <v>74</v>
      </c>
      <c r="E7" s="177" t="inlineStr">
        <is>
          <t>Politeknik Negeri Malang</t>
        </is>
      </c>
      <c r="F7" s="2"/>
      <c r="L7" t="s">
        <v>55</v>
      </c>
      <c r="W7" t="s">
        <v>12</v>
      </c>
      <c r="AA7" t="s">
        <v>13</v>
      </c>
    </row>
    <row r="8" spans="1:27" ht="15.75" customHeight="1" thickBot="1">
      <c r="A8" s="4">
        <v>4</v>
      </c>
      <c r="B8" s="4" t="s">
        <v>51</v>
      </c>
      <c r="C8" s="3"/>
      <c r="D8" s="121" t="s">
        <v>74</v>
      </c>
      <c r="E8" s="176" t="inlineStr">
        <is>
          <t>Ketua Peneliti (Asisten Ahli)</t>
        </is>
      </c>
      <c r="F8" s="2"/>
      <c r="L8" t="s">
        <v>56</v>
      </c>
      <c r="W8" t="s">
        <v>15</v>
      </c>
      <c r="AA8" t="s">
        <v>16</v>
      </c>
    </row>
    <row r="9" spans="1:27" ht="16.5" thickBot="1">
      <c r="A9" s="3">
        <v>5</v>
      </c>
      <c r="B9" s="3" t="s">
        <v>52</v>
      </c>
      <c r="C9" s="3"/>
      <c r="D9" s="121" t="s">
        <v>74</v>
      </c>
      <c r="E9" s="177" t="inlineStr">
        <is>
          <t>198806102019031018</t>
        </is>
      </c>
      <c r="F9" s="2"/>
      <c r="L9" t="s">
        <v>57</v>
      </c>
      <c r="W9" t="s">
        <v>18</v>
      </c>
      <c r="AA9" t="s">
        <v>19</v>
      </c>
    </row>
    <row r="10" spans="1:27" ht="16.5" thickBot="1">
      <c r="A10" s="3">
        <v>6</v>
      </c>
      <c r="B10" s="3" t="s">
        <v>53</v>
      </c>
      <c r="C10" s="3"/>
      <c r="D10" s="121" t="s">
        <v>74</v>
      </c>
      <c r="E10" s="176" t="inlineStr">
        <is>
          <t>0010068807</t>
        </is>
      </c>
      <c r="F10" s="2"/>
      <c r="L10" t="s">
        <v>58</v>
      </c>
      <c r="W10" t="s">
        <v>21</v>
      </c>
    </row>
    <row r="11" spans="1:27" thickBot="1" ht="30" customHeight="1">
      <c r="A11" s="4">
        <v>7</v>
      </c>
      <c r="B11" s="4" t="s">
        <v>38</v>
      </c>
      <c r="C11" s="3"/>
      <c r="D11" s="121" t="s">
        <v>74</v>
      </c>
      <c r="E11" s="182" t="inlineStr">
        <is>
          <t>Jurusan Teknologi Informasi, Politeknik Negeri Malang, Jl. Soekarno Hatta No. 9, Jatimulyo, Lowokwaru</t>
        </is>
      </c>
      <c r="F11" s="2"/>
      <c r="L11" t="s">
        <v>59</v>
      </c>
      <c r="W11" t="s">
        <v>25</v>
      </c>
    </row>
    <row r="12" spans="1:27" ht="16.5" thickBot="1">
      <c r="A12" s="3">
        <v>8</v>
      </c>
      <c r="B12" s="3" t="s">
        <v>54</v>
      </c>
      <c r="C12" s="3"/>
      <c r="D12" s="121" t="s">
        <v>74</v>
      </c>
      <c r="E12" s="176" t="inlineStr">
        <is>
          <t>Malang</t>
        </is>
      </c>
      <c r="F12" s="2"/>
      <c r="L12" t="s">
        <v>60</v>
      </c>
      <c r="W12" t="s">
        <v>27</v>
      </c>
    </row>
    <row r="13" spans="1:27" ht="16.5" thickBot="1">
      <c r="A13" s="3">
        <v>9</v>
      </c>
      <c r="B13" s="3" t="s">
        <v>34</v>
      </c>
      <c r="C13" s="3"/>
      <c r="D13" s="121" t="s">
        <v>74</v>
      </c>
      <c r="E13" s="176" t="inlineStr">
        <is>
          <t>082230743546</t>
        </is>
      </c>
      <c r="F13" s="2"/>
      <c r="W13" t="s">
        <v>29</v>
      </c>
    </row>
    <row r="14" spans="1:27" ht="16.5" thickBot="1">
      <c r="A14" s="3">
        <v>10</v>
      </c>
      <c r="B14" s="3" t="s">
        <v>36</v>
      </c>
      <c r="C14" s="3"/>
      <c r="D14" s="121" t="s">
        <v>74</v>
      </c>
      <c r="E14" s="178" t="inlineStr">
        <is>
          <t>dhanifudin@polinema.ac.id</t>
        </is>
      </c>
      <c r="F14" s="2"/>
      <c r="W14" t="s">
        <v>33</v>
      </c>
    </row>
    <row r="15" spans="1:27">
      <c r="A15" s="2"/>
      <c r="B15" s="2"/>
      <c r="C15" s="2"/>
      <c r="D15" s="2"/>
      <c r="E15" s="2"/>
      <c r="F15" s="2"/>
    </row>
    <row r="16" spans="1:27" ht="15" hidden="1" customHeight="1"/>
    <row r="17" ht="15" hidden="1" customHeight="1"/>
    <row r="18" ht="15" hidden="1" customHeight="1"/>
    <row r="19" ht="15" hidden="1" customHeight="1"/>
    <row r="20" ht="15" hidden="1" customHeight="1"/>
    <row r="21" ht="15" hidden="1" customHeight="1"/>
  </sheetData>
  <sheetProtection algorithmName="SHA-512" hashValue="b2FQbcyAt/XTyK8o3uriNKaX1KDMuOG1y4HbVs7/ZF0lTS9I72o4gTtDuDQbrMNvrP5Q3wtRW8eFzyMLGhiobA==" saltValue="Cb9L+OrDdpJM8VDWbH5ECw==" spinCount="100000" sheet="1" objects="1" scenarios="1"/>
  <mergeCells count="3">
    <mergeCell ref="A4:C4"/>
    <mergeCell ref="B5:C5"/>
    <mergeCell ref="A2:F2"/>
  </mergeCells>
  <dataValidations count="1">
    <dataValidation type="textLength" allowBlank="1" showInputMessage="1" showErrorMessage="1" errorTitle="Peringatan" error="Isian tidak sesuai dengan ketentuan (angka 10 digit)" sqref="E10">
      <formula1>10</formula1>
      <formula2>10</formula2>
    </dataValidation>
  </dataValidations>
  <pageMargins left="0.7" right="0.7" top="0.75" bottom="0.75" header="0.3" footer="0.3"/>
  <pageSetup paperSize="9" orientation="portrait" fitToWidth="1" fitToHeight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6</xdr:row>
                    <xdr:rowOff>9525</xdr:rowOff>
                  </from>
                  <to>
                    <xdr:col>3</xdr:col>
                    <xdr:colOff>0</xdr:colOff>
                    <xdr:row>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Drop Down 2">
              <controlPr defaultSize="0" autoLine="0" autoPict="0">
                <anchor moveWithCells="1">
                  <from>
                    <xdr:col>3</xdr:col>
                    <xdr:colOff>0</xdr:colOff>
                    <xdr:row>8</xdr:row>
                    <xdr:rowOff>9525</xdr:rowOff>
                  </from>
                  <to>
                    <xdr:col>3</xdr:col>
                    <xdr:colOff>0</xdr:colOff>
                    <xdr:row>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6" name="Drop Down 14">
              <controlPr defaultSize="0" autoLine="0" autoPict="0">
                <anchor moveWithCells="1">
                  <from>
                    <xdr:col>4</xdr:col>
                    <xdr:colOff>0</xdr:colOff>
                    <xdr:row>6</xdr:row>
                    <xdr:rowOff>9525</xdr:rowOff>
                  </from>
                  <to>
                    <xdr:col>4</xdr:col>
                    <xdr:colOff>0</xdr:colOff>
                    <xdr:row>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7" name="Drop Down 15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9525</xdr:rowOff>
                  </from>
                  <to>
                    <xdr:col>4</xdr:col>
                    <xdr:colOff>0</xdr:colOff>
                    <xdr:row>8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A21"/>
  <sheetViews>
    <sheetView topLeftCell="A7" workbookViewId="0">
      <selection activeCell="E20" activeCellId="8" sqref="E5:E10 E12 E13 E14 E16 E17 E18 E19 E20"/>
    </sheetView>
  </sheetViews>
  <sheetFormatPr defaultColWidth="0" defaultRowHeight="15" customHeight="1" zeroHeight="1"/>
  <cols>
    <col min="1" max="1" width="3.85546875" bestFit="1" customWidth="1"/>
    <col min="2" max="2" width="9.140625" customWidth="1"/>
    <col min="3" max="3" width="34.28515625" bestFit="1" customWidth="1"/>
    <col min="4" max="4" width="3" customWidth="1"/>
    <col min="5" max="5" width="65.140625" customWidth="1"/>
    <col min="6" max="6" width="9.140625" customWidth="1"/>
    <col min="7" max="16384" width="9.140625" hidden="1"/>
  </cols>
  <sheetData>
    <row r="1" spans="1:27" s="2" customFormat="1"/>
    <row r="2" spans="1:27" ht="20.25">
      <c r="A2" s="124" t="s">
        <v>8</v>
      </c>
      <c r="B2" s="124"/>
      <c r="C2" s="124"/>
      <c r="D2" s="124"/>
      <c r="E2" s="124"/>
      <c r="F2" s="124"/>
    </row>
    <row r="3" spans="1:27" ht="15.75">
      <c r="A3" s="3"/>
      <c r="B3" s="3"/>
      <c r="C3" s="3"/>
      <c r="D3" s="3"/>
      <c r="E3" s="3"/>
      <c r="F3" s="2"/>
    </row>
    <row r="4" spans="1:27" ht="16.5" thickBot="1">
      <c r="A4" s="122" t="s">
        <v>47</v>
      </c>
      <c r="B4" s="122"/>
      <c r="C4" s="122"/>
      <c r="D4" s="120"/>
      <c r="E4" s="3"/>
      <c r="F4" s="2"/>
    </row>
    <row r="5" spans="1:27" thickBot="1" ht="45" customHeight="1">
      <c r="A5" s="3">
        <v>1</v>
      </c>
      <c r="B5" s="3" t="s">
        <v>9</v>
      </c>
      <c r="C5" s="3"/>
      <c r="D5" s="121" t="s">
        <v>74</v>
      </c>
      <c r="E5" s="181" t="inlineStr">
        <is>
          <t>Desain dan Implementasi TathyaTest: Test Case Generator Otomatis untuk Pengujian Fungsional Aplikasi Web</t>
        </is>
      </c>
      <c r="F5" s="2"/>
    </row>
    <row r="6" spans="1:27" ht="16.5" thickBot="1">
      <c r="A6" s="3">
        <v>2</v>
      </c>
      <c r="B6" s="3" t="s">
        <v>10</v>
      </c>
      <c r="C6" s="3"/>
      <c r="D6" s="121" t="s">
        <v>74</v>
      </c>
      <c r="E6" s="176" t="inlineStr">
        <is>
          <t>TathyaTest: Test Case Generator Otomatis</t>
        </is>
      </c>
      <c r="F6" s="2"/>
    </row>
    <row r="7" spans="1:27" ht="16.5" thickBot="1">
      <c r="A7" s="3">
        <v>3</v>
      </c>
      <c r="B7" s="3" t="s">
        <v>11</v>
      </c>
      <c r="C7" s="3"/>
      <c r="D7" s="121" t="s">
        <v>74</v>
      </c>
      <c r="E7" s="175" t="inlineStr">
        <is>
          <t>TIK</t>
        </is>
      </c>
      <c r="F7" s="2"/>
      <c r="W7" t="s">
        <v>12</v>
      </c>
      <c r="AA7" t="s">
        <v>13</v>
      </c>
    </row>
    <row r="8" spans="1:27" thickBot="1" ht="60" customHeight="1">
      <c r="A8" s="4">
        <v>4</v>
      </c>
      <c r="B8" s="4" t="s">
        <v>14</v>
      </c>
      <c r="C8" s="3"/>
      <c r="D8" s="121" t="s">
        <v>74</v>
      </c>
      <c r="E8" s="181" t="inlineStr">
        <is>
          <t>Test case generator otomatis yang melakukan crawling DOM ter-render dengan Playwright, membangun model elemen dan matriks akses per peran, lalu menghasilkan dan mengeksekusi test case fungsional.</t>
        </is>
      </c>
      <c r="F8" s="2"/>
      <c r="W8" t="s">
        <v>15</v>
      </c>
      <c r="AA8" t="s">
        <v>16</v>
      </c>
    </row>
    <row r="9" spans="1:27" ht="16.5" thickBot="1">
      <c r="A9" s="3">
        <v>5</v>
      </c>
      <c r="B9" s="3" t="s">
        <v>17</v>
      </c>
      <c r="C9" s="3"/>
      <c r="D9" s="121" t="s">
        <v>74</v>
      </c>
      <c r="E9" s="176" t="inlineStr">
        <is>
          <t>Selesai</t>
        </is>
      </c>
      <c r="F9" s="2"/>
      <c r="W9" t="s">
        <v>18</v>
      </c>
      <c r="AA9" t="s">
        <v>19</v>
      </c>
    </row>
    <row r="10" spans="1:27" thickBot="1" ht="30" customHeight="1">
      <c r="A10" s="3">
        <v>6</v>
      </c>
      <c r="B10" s="3" t="s">
        <v>20</v>
      </c>
      <c r="C10" s="3"/>
      <c r="D10" s="121" t="s">
        <v>74</v>
      </c>
      <c r="E10" s="178" t="inlineStr">
        <is>
          <t>Naskah artikel JUTI (belum diajukan)</t>
        </is>
      </c>
      <c r="F10" s="2"/>
      <c r="W10" t="s">
        <v>21</v>
      </c>
    </row>
    <row r="11" spans="1:27" ht="16.5" thickBot="1">
      <c r="A11" s="122" t="s">
        <v>22</v>
      </c>
      <c r="B11" s="122"/>
      <c r="C11" s="122"/>
      <c r="D11" s="120"/>
      <c r="E11" s="3"/>
      <c r="F11" s="2"/>
      <c r="W11" t="s">
        <v>23</v>
      </c>
    </row>
    <row r="12" spans="1:27" ht="16.5" thickBot="1">
      <c r="A12" s="3">
        <v>7</v>
      </c>
      <c r="B12" s="3" t="s">
        <v>24</v>
      </c>
      <c r="C12" s="3"/>
      <c r="D12" s="121" t="s">
        <v>74</v>
      </c>
      <c r="E12" s="176" t="inlineStr">
        <is>
          <t>DIPA Politeknik Negeri Malang</t>
        </is>
      </c>
      <c r="F12" s="2"/>
      <c r="W12" t="s">
        <v>25</v>
      </c>
    </row>
    <row r="13" spans="1:27" ht="16.5" thickBot="1">
      <c r="A13" s="3">
        <v>8</v>
      </c>
      <c r="B13" s="3" t="s">
        <v>26</v>
      </c>
      <c r="C13" s="3"/>
      <c r="D13" s="121" t="s">
        <v>74</v>
      </c>
      <c r="E13" s="176" t="inlineStr">
        <is>
          <t>Penelitian Reguler Kompetisi</t>
        </is>
      </c>
      <c r="F13" s="2"/>
      <c r="W13" t="s">
        <v>27</v>
      </c>
    </row>
    <row r="14" spans="1:27" ht="16.5" thickBot="1">
      <c r="A14" s="3">
        <v>9</v>
      </c>
      <c r="B14" s="3" t="s">
        <v>28</v>
      </c>
      <c r="C14" s="3"/>
      <c r="D14" s="121" t="s">
        <v>74</v>
      </c>
      <c r="E14" s="176" t="inlineStr">
        <is>
          <t>Rp 9.000.000</t>
        </is>
      </c>
      <c r="F14" s="2"/>
      <c r="W14" t="s">
        <v>29</v>
      </c>
    </row>
    <row r="15" spans="1:27" ht="16.5" thickBot="1">
      <c r="A15" s="122" t="s">
        <v>30</v>
      </c>
      <c r="B15" s="122"/>
      <c r="C15" s="122"/>
      <c r="D15" s="120"/>
      <c r="E15" s="3"/>
      <c r="F15" s="2"/>
      <c r="W15" t="s">
        <v>31</v>
      </c>
    </row>
    <row r="16" spans="1:27" ht="16.5" thickBot="1">
      <c r="A16" s="3">
        <v>10</v>
      </c>
      <c r="B16" s="3" t="s">
        <v>32</v>
      </c>
      <c r="C16" s="3"/>
      <c r="D16" s="121" t="s">
        <v>74</v>
      </c>
      <c r="E16" s="175" t="inlineStr">
        <is>
          <t>Dian Hanifudin Subhi, S.Kom., M.Kom.</t>
        </is>
      </c>
      <c r="F16" s="2"/>
      <c r="W16" t="s">
        <v>33</v>
      </c>
    </row>
    <row r="17" spans="1:23" ht="16.5" thickBot="1">
      <c r="A17" s="3">
        <v>11</v>
      </c>
      <c r="B17" s="3" t="s">
        <v>34</v>
      </c>
      <c r="C17" s="3"/>
      <c r="D17" s="121" t="s">
        <v>74</v>
      </c>
      <c r="E17" s="176" t="inlineStr">
        <is>
          <t>082230743546</t>
        </is>
      </c>
      <c r="F17" s="2"/>
      <c r="W17" t="s">
        <v>35</v>
      </c>
    </row>
    <row r="18" spans="1:23" ht="16.5" thickBot="1">
      <c r="A18" s="3">
        <v>12</v>
      </c>
      <c r="B18" s="3" t="s">
        <v>36</v>
      </c>
      <c r="C18" s="3"/>
      <c r="D18" s="121" t="s">
        <v>74</v>
      </c>
      <c r="E18" s="177" t="inlineStr">
        <is>
          <t>dhanifudin@polinema.ac.id</t>
        </is>
      </c>
      <c r="F18" s="2"/>
      <c r="W18" t="s">
        <v>37</v>
      </c>
    </row>
    <row r="19" spans="1:23" thickBot="1" ht="30" customHeight="1">
      <c r="A19" s="3">
        <v>13</v>
      </c>
      <c r="B19" s="3" t="s">
        <v>38</v>
      </c>
      <c r="C19" s="3"/>
      <c r="D19" s="121" t="s">
        <v>74</v>
      </c>
      <c r="E19" s="181" t="inlineStr">
        <is>
          <t>Jurusan Teknologi Informasi, Politeknik Negeri Malang, Jl. Soekarno Hatta No. 9, Jatimulyo, Lowokwaru, Malang</t>
        </is>
      </c>
      <c r="F19" s="2"/>
    </row>
    <row r="20" spans="1:23" ht="16.5" thickBot="1">
      <c r="A20" s="3">
        <v>14</v>
      </c>
      <c r="B20" s="3" t="s">
        <v>39</v>
      </c>
      <c r="C20" s="3"/>
      <c r="D20" s="121" t="s">
        <v>74</v>
      </c>
      <c r="E20" s="178" t="inlineStr">
        <is>
          <t>Politeknik Negeri Malang</t>
        </is>
      </c>
      <c r="F20" s="2"/>
    </row>
    <row r="21" spans="1:23">
      <c r="A21" s="2"/>
      <c r="B21" s="2"/>
      <c r="C21" s="2"/>
      <c r="D21" s="2"/>
      <c r="E21" s="2"/>
      <c r="F21" s="2"/>
    </row>
  </sheetData>
  <sheetProtection algorithmName="SHA-512" hashValue="OVGJLzlyDi7o/t6S0g+r4wD1XFEv1DL2C3MtKZZKZHZmh8geKOlKEw+AVvDmobqFjlvT34i9ms2YlNpUtyUPbg==" saltValue="pn4xAW2aWotnpl40lXLO9Q==" spinCount="100000" sheet="1" objects="1" scenarios="1"/>
  <mergeCells count="4">
    <mergeCell ref="A4:C4"/>
    <mergeCell ref="A11:C11"/>
    <mergeCell ref="A15:C15"/>
    <mergeCell ref="A2:F2"/>
  </mergeCells>
  <dataValidations count="2">
    <dataValidation type="list" allowBlank="1" showInputMessage="1" showErrorMessage="1" sqref="E9">
      <formula1>$AA$7:$AA$9</formula1>
    </dataValidation>
    <dataValidation type="list" allowBlank="1" showInputMessage="1" showErrorMessage="1" sqref="E7">
      <formula1>$W$7:$W$18</formula1>
    </dataValidation>
  </dataValidations>
  <pageMargins left="0.7" right="0.7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P104"/>
  <sheetViews>
    <sheetView topLeftCell="A46" zoomScale="66" zoomScaleNormal="66" workbookViewId="0">
      <selection activeCell="E61" activeCellId="30" sqref="E5:E7 E11 E12 E13 E17 E18 E19 E23 E24 E25 E26 E27 E31 E32 E33 E34 E35 E36 E40 E41 E45 E46 E50 E51 E52 E56 E57 E58 E59 E60 E61"/>
    </sheetView>
  </sheetViews>
  <sheetFormatPr defaultColWidth="0" defaultRowHeight="15" zeroHeight="1"/>
  <cols>
    <col min="1" max="1" width="6.5703125" style="1" customWidth="1"/>
    <col min="2" max="3" width="9.140625" style="1" customWidth="1"/>
    <col min="4" max="4" width="106.85546875" style="1" bestFit="1" customWidth="1"/>
    <col min="5" max="5" width="14.85546875" style="1" bestFit="1" customWidth="1"/>
    <col min="6" max="6" width="9.140625" style="1" customWidth="1"/>
    <col min="7" max="7" width="39.42578125" style="1" bestFit="1" customWidth="1"/>
    <col min="8" max="8" width="12.28515625" style="1" bestFit="1" customWidth="1"/>
    <col min="9" max="9" width="9.140625" style="1" customWidth="1"/>
    <col min="10" max="11" width="9.140625" style="1" hidden="1" customWidth="1"/>
    <col min="12" max="12" width="21.7109375" style="1" hidden="1" customWidth="1"/>
    <col min="13" max="16" width="0" style="1" hidden="1" customWidth="1"/>
    <col min="17" max="16384" width="9.140625" style="1" hidden="1"/>
  </cols>
  <sheetData>
    <row r="1" spans="1:15"/>
    <row r="2" spans="1:15" ht="20.25">
      <c r="A2" s="125" t="s">
        <v>87</v>
      </c>
      <c r="B2" s="125"/>
      <c r="C2" s="125"/>
      <c r="D2" s="125"/>
      <c r="E2" s="125"/>
      <c r="F2" s="125"/>
      <c r="G2" s="125"/>
      <c r="H2" s="125"/>
      <c r="I2" s="125"/>
    </row>
    <row r="3" spans="1:15"/>
    <row r="4" spans="1:15" s="106" customFormat="1" ht="15.75">
      <c r="B4" s="134" t="s">
        <v>0</v>
      </c>
      <c r="C4" s="107" t="s">
        <v>43</v>
      </c>
      <c r="D4" s="108" t="s">
        <v>1</v>
      </c>
      <c r="E4" s="108" t="s">
        <v>2</v>
      </c>
      <c r="G4" s="108" t="s">
        <v>44</v>
      </c>
      <c r="H4" s="108" t="s">
        <v>45</v>
      </c>
    </row>
    <row r="5" spans="1:15" s="106" customFormat="1" ht="15.75" customHeight="1">
      <c r="B5" s="134"/>
      <c r="C5" s="109">
        <v>1</v>
      </c>
      <c r="D5" s="110" t="s">
        <v>88</v>
      </c>
      <c r="E5" s="179">
        <v>1</v>
      </c>
      <c r="G5" s="127" t="str">
        <f>LOOKUP(E8,{0,0.79},{"PENGUKURAN BERHENTI DI SINI","PENGUKURAN DILANJUTKAN KE TKT BERIKUTNYA"})</f>
      </c>
      <c r="H5" s="126" t="str">
        <f>LOOKUP(E8,{0,0.79},{"0","LANJUT"})</f>
      </c>
      <c r="O5" s="106">
        <v>0</v>
      </c>
    </row>
    <row r="6" spans="1:15" s="106" customFormat="1">
      <c r="B6" s="134"/>
      <c r="C6" s="109">
        <v>2</v>
      </c>
      <c r="D6" s="110" t="s">
        <v>89</v>
      </c>
      <c r="E6" s="179">
        <v>1</v>
      </c>
      <c r="G6" s="128"/>
      <c r="H6" s="126"/>
      <c r="O6" s="111">
        <v>0.2</v>
      </c>
    </row>
    <row r="7" spans="1:15" s="106" customFormat="1" ht="30">
      <c r="B7" s="134"/>
      <c r="C7" s="109">
        <v>3</v>
      </c>
      <c r="D7" s="119" t="s">
        <v>90</v>
      </c>
      <c r="E7" s="179">
        <v>1</v>
      </c>
      <c r="G7" s="128"/>
      <c r="H7" s="126"/>
      <c r="O7" s="111">
        <v>0.4</v>
      </c>
    </row>
    <row r="8" spans="1:15" s="106" customFormat="1" ht="15.75" customHeight="1">
      <c r="B8" s="134"/>
      <c r="C8" s="131" t="s">
        <v>85</v>
      </c>
      <c r="D8" s="132"/>
      <c r="E8" s="118">
        <f>SUM(E5:E7)/3</f>
      </c>
      <c r="G8" s="129"/>
      <c r="H8" s="126"/>
      <c r="O8" s="111">
        <v>0.6</v>
      </c>
    </row>
    <row r="9" spans="1:15" s="106" customFormat="1">
      <c r="O9" s="111">
        <v>0.8</v>
      </c>
    </row>
    <row r="10" spans="1:15" s="106" customFormat="1" ht="15.75">
      <c r="B10" s="135" t="s">
        <v>3</v>
      </c>
      <c r="C10" s="107" t="s">
        <v>43</v>
      </c>
      <c r="D10" s="108" t="s">
        <v>1</v>
      </c>
      <c r="E10" s="108" t="s">
        <v>2</v>
      </c>
      <c r="G10" s="108" t="s">
        <v>44</v>
      </c>
      <c r="H10" s="108" t="s">
        <v>45</v>
      </c>
      <c r="O10" s="111">
        <v>1</v>
      </c>
    </row>
    <row r="11" spans="1:15" s="106" customFormat="1" ht="15.75" customHeight="1">
      <c r="B11" s="135"/>
      <c r="C11" s="109">
        <v>1</v>
      </c>
      <c r="D11" s="112" t="s">
        <v>91</v>
      </c>
      <c r="E11" s="179">
        <v>1</v>
      </c>
      <c r="G11" s="127" t="str">
        <f>LOOKUP(E14,{0,0.79},{"PENGUKURAN BERHENTI DI SINI","PENGUKURAN DILANJUTKAN KE TKT BERIKUTNYA"})</f>
      </c>
      <c r="H11" s="126" t="str">
        <f>LOOKUP(E14,{0,0.79},{"1","LANJUT"})</f>
      </c>
    </row>
    <row r="12" spans="1:15" s="106" customFormat="1" ht="30.75" customHeight="1">
      <c r="B12" s="135"/>
      <c r="C12" s="109">
        <v>2</v>
      </c>
      <c r="D12" s="112" t="s">
        <v>92</v>
      </c>
      <c r="E12" s="179">
        <v>1</v>
      </c>
      <c r="G12" s="128"/>
      <c r="H12" s="126"/>
    </row>
    <row r="13" spans="1:15" s="106" customFormat="1">
      <c r="B13" s="135"/>
      <c r="C13" s="109">
        <v>3</v>
      </c>
      <c r="D13" s="112" t="s">
        <v>93</v>
      </c>
      <c r="E13" s="179">
        <v>1</v>
      </c>
      <c r="G13" s="128"/>
      <c r="H13" s="126"/>
    </row>
    <row r="14" spans="1:15" s="106" customFormat="1" ht="15.75">
      <c r="B14" s="135"/>
      <c r="C14" s="131" t="s">
        <v>85</v>
      </c>
      <c r="D14" s="132"/>
      <c r="E14" s="118">
        <f>SUM(E11:E13)/3</f>
      </c>
      <c r="G14" s="129"/>
      <c r="H14" s="126"/>
      <c r="K14" s="115"/>
      <c r="L14" s="113"/>
      <c r="M14" s="116"/>
    </row>
    <row r="15" spans="1:15" s="106" customFormat="1" ht="15" customHeight="1">
      <c r="H15" s="117"/>
      <c r="K15" s="115"/>
      <c r="L15" s="113"/>
      <c r="M15" s="116"/>
    </row>
    <row r="16" spans="1:15" s="106" customFormat="1" ht="15.75">
      <c r="B16" s="136" t="s">
        <v>4</v>
      </c>
      <c r="C16" s="107" t="s">
        <v>43</v>
      </c>
      <c r="D16" s="108" t="s">
        <v>1</v>
      </c>
      <c r="E16" s="108" t="s">
        <v>2</v>
      </c>
      <c r="G16" s="108" t="s">
        <v>44</v>
      </c>
      <c r="H16" s="108" t="s">
        <v>45</v>
      </c>
      <c r="K16" s="115"/>
      <c r="L16" s="113"/>
      <c r="M16" s="116"/>
    </row>
    <row r="17" spans="2:14" s="106" customFormat="1" ht="15" customHeight="1">
      <c r="B17" s="136"/>
      <c r="C17" s="109">
        <v>1</v>
      </c>
      <c r="D17" s="112" t="s">
        <v>94</v>
      </c>
      <c r="E17" s="179">
        <v>1</v>
      </c>
      <c r="G17" s="127" t="str">
        <f>LOOKUP(E20,{0,0.79},{"PENGUKURAN BERHENTI DI SINI","PENGUKURAN DILANJUTKAN KE TKT BERIKUTNYA"})</f>
      </c>
      <c r="H17" s="126" t="str">
        <f>LOOKUP(E20,{0,0.79},{"2","LANJUT"})</f>
      </c>
      <c r="K17" s="115"/>
      <c r="L17" s="113"/>
      <c r="M17" s="116"/>
    </row>
    <row r="18" spans="2:14" s="106" customFormat="1">
      <c r="B18" s="136"/>
      <c r="C18" s="109">
        <v>2</v>
      </c>
      <c r="D18" s="112" t="s">
        <v>95</v>
      </c>
      <c r="E18" s="179">
        <v>1</v>
      </c>
      <c r="G18" s="128"/>
      <c r="H18" s="126"/>
      <c r="K18" s="115"/>
      <c r="L18" s="113"/>
      <c r="M18" s="116"/>
    </row>
    <row r="19" spans="2:14" s="106" customFormat="1" ht="50.25" customHeight="1">
      <c r="B19" s="136"/>
      <c r="C19" s="109">
        <v>3</v>
      </c>
      <c r="D19" s="112" t="s">
        <v>96</v>
      </c>
      <c r="E19" s="179">
        <v>1</v>
      </c>
      <c r="G19" s="128"/>
      <c r="H19" s="126"/>
      <c r="K19" s="115"/>
      <c r="L19" s="113"/>
      <c r="M19" s="113"/>
      <c r="N19" s="114"/>
    </row>
    <row r="20" spans="2:14" s="106" customFormat="1" ht="15.75">
      <c r="B20" s="136"/>
      <c r="C20" s="131" t="s">
        <v>85</v>
      </c>
      <c r="D20" s="132"/>
      <c r="E20" s="118">
        <f>SUM(E17:E19)/3</f>
      </c>
      <c r="G20" s="129"/>
      <c r="H20" s="126"/>
    </row>
    <row r="21" spans="2:14" s="106" customFormat="1" ht="15" customHeight="1">
      <c r="G21" s="117"/>
    </row>
    <row r="22" spans="2:14" s="106" customFormat="1" ht="15.75">
      <c r="B22" s="137" t="s">
        <v>5</v>
      </c>
      <c r="C22" s="107" t="s">
        <v>43</v>
      </c>
      <c r="D22" s="108" t="s">
        <v>1</v>
      </c>
      <c r="E22" s="108" t="s">
        <v>2</v>
      </c>
      <c r="G22" s="108" t="s">
        <v>44</v>
      </c>
      <c r="H22" s="108" t="s">
        <v>45</v>
      </c>
    </row>
    <row r="23" spans="2:14" s="106" customFormat="1" ht="15" customHeight="1">
      <c r="B23" s="137"/>
      <c r="C23" s="109">
        <v>1</v>
      </c>
      <c r="D23" s="112" t="s">
        <v>97</v>
      </c>
      <c r="E23" s="179">
        <v>1</v>
      </c>
      <c r="G23" s="127" t="str">
        <f>LOOKUP(E28,{0,0.79},{"PENGUKURAN BERHENTI DI SINI","PENGUKURAN DILANJUTKAN KE TKT BERIKUTNYA"})</f>
      </c>
      <c r="H23" s="126" t="str">
        <f>LOOKUP(E28,{0,0.79},{"3","LANJUT"})</f>
      </c>
    </row>
    <row r="24" spans="2:14" s="106" customFormat="1" ht="30">
      <c r="B24" s="137"/>
      <c r="C24" s="109">
        <v>2</v>
      </c>
      <c r="D24" s="112" t="s">
        <v>98</v>
      </c>
      <c r="E24" s="179">
        <v>0.8</v>
      </c>
      <c r="G24" s="128"/>
      <c r="H24" s="126"/>
      <c r="L24" s="113"/>
      <c r="M24" s="113"/>
      <c r="N24" s="114"/>
    </row>
    <row r="25" spans="2:14" s="106" customFormat="1" ht="30">
      <c r="B25" s="137"/>
      <c r="C25" s="109">
        <v>3</v>
      </c>
      <c r="D25" s="112" t="s">
        <v>99</v>
      </c>
      <c r="E25" s="179">
        <v>0.8</v>
      </c>
      <c r="G25" s="128"/>
      <c r="H25" s="126"/>
      <c r="L25" s="115"/>
      <c r="M25" s="113"/>
      <c r="N25" s="116"/>
    </row>
    <row r="26" spans="2:14" s="106" customFormat="1" ht="15" customHeight="1">
      <c r="B26" s="137"/>
      <c r="C26" s="109">
        <v>4</v>
      </c>
      <c r="D26" s="112" t="s">
        <v>100</v>
      </c>
      <c r="E26" s="179">
        <v>1</v>
      </c>
      <c r="G26" s="128"/>
      <c r="H26" s="126"/>
      <c r="L26" s="115"/>
      <c r="M26" s="113"/>
      <c r="N26" s="116"/>
    </row>
    <row r="27" spans="2:14" s="106" customFormat="1" ht="15" customHeight="1">
      <c r="B27" s="137"/>
      <c r="C27" s="109">
        <v>5</v>
      </c>
      <c r="D27" s="112" t="s">
        <v>101</v>
      </c>
      <c r="E27" s="179">
        <v>1</v>
      </c>
      <c r="G27" s="128"/>
      <c r="H27" s="126"/>
      <c r="L27" s="115"/>
      <c r="M27" s="113"/>
      <c r="N27" s="116"/>
    </row>
    <row r="28" spans="2:14" s="106" customFormat="1" ht="15.75">
      <c r="B28" s="137"/>
      <c r="C28" s="131" t="s">
        <v>85</v>
      </c>
      <c r="D28" s="132"/>
      <c r="E28" s="118">
        <f>SUM(E23:E27)/5</f>
      </c>
      <c r="G28" s="129"/>
      <c r="H28" s="126"/>
      <c r="L28" s="115"/>
      <c r="M28" s="113"/>
      <c r="N28" s="116"/>
    </row>
    <row r="29" spans="2:14" s="106" customFormat="1" ht="15" customHeight="1">
      <c r="G29" s="117"/>
    </row>
    <row r="30" spans="2:14" s="106" customFormat="1" ht="15.75">
      <c r="B30" s="138" t="s">
        <v>6</v>
      </c>
      <c r="C30" s="107" t="s">
        <v>43</v>
      </c>
      <c r="D30" s="108" t="s">
        <v>1</v>
      </c>
      <c r="E30" s="108" t="s">
        <v>2</v>
      </c>
      <c r="G30" s="108" t="s">
        <v>44</v>
      </c>
      <c r="H30" s="108" t="s">
        <v>45</v>
      </c>
    </row>
    <row r="31" spans="2:14" s="106" customFormat="1" ht="30.75" customHeight="1">
      <c r="B31" s="138"/>
      <c r="C31" s="109">
        <v>1</v>
      </c>
      <c r="D31" s="112" t="s">
        <v>102</v>
      </c>
      <c r="E31" s="179">
        <v>0.4</v>
      </c>
      <c r="G31" s="127" t="str">
        <f>LOOKUP(E37,{0,0.79},{"PENGUKURAN BERHENTI DI SINI","PENGUKURAN DILANJUTKAN KE TKT BERIKUTNYA"})</f>
      </c>
      <c r="H31" s="126" t="str">
        <f>LOOKUP(E37,{0,0.79},{"4","LANJUT"})</f>
      </c>
    </row>
    <row r="32" spans="2:14" s="106" customFormat="1" ht="15.75">
      <c r="B32" s="138"/>
      <c r="C32" s="109">
        <v>2</v>
      </c>
      <c r="D32" s="112" t="s">
        <v>103</v>
      </c>
      <c r="E32" s="179">
        <v>0.6</v>
      </c>
      <c r="G32" s="128"/>
      <c r="H32" s="126"/>
      <c r="L32" s="113"/>
      <c r="M32" s="113"/>
      <c r="N32" s="114"/>
    </row>
    <row r="33" spans="2:14" s="106" customFormat="1">
      <c r="B33" s="138"/>
      <c r="C33" s="109">
        <v>3</v>
      </c>
      <c r="D33" s="112" t="s">
        <v>104</v>
      </c>
      <c r="E33" s="179">
        <v>0.6</v>
      </c>
      <c r="G33" s="128"/>
      <c r="H33" s="126"/>
      <c r="L33" s="115"/>
      <c r="M33" s="113"/>
      <c r="N33" s="116"/>
    </row>
    <row r="34" spans="2:14" s="106" customFormat="1">
      <c r="B34" s="138"/>
      <c r="C34" s="109">
        <v>4</v>
      </c>
      <c r="D34" s="112" t="s">
        <v>105</v>
      </c>
      <c r="E34" s="179">
        <v>0.4</v>
      </c>
      <c r="G34" s="128"/>
      <c r="H34" s="126"/>
      <c r="L34" s="115"/>
      <c r="M34" s="113"/>
      <c r="N34" s="116"/>
    </row>
    <row r="35" spans="2:14" s="106" customFormat="1">
      <c r="B35" s="138"/>
      <c r="C35" s="109">
        <v>5</v>
      </c>
      <c r="D35" s="112" t="s">
        <v>106</v>
      </c>
      <c r="E35" s="179">
        <v>0.6</v>
      </c>
      <c r="G35" s="128"/>
      <c r="H35" s="126"/>
      <c r="L35" s="115"/>
      <c r="M35" s="113"/>
      <c r="N35" s="116"/>
    </row>
    <row r="36" spans="2:14" s="106" customFormat="1" ht="30">
      <c r="B36" s="138"/>
      <c r="C36" s="109">
        <v>6</v>
      </c>
      <c r="D36" s="112" t="s">
        <v>107</v>
      </c>
      <c r="E36" s="179">
        <v>0.4</v>
      </c>
      <c r="G36" s="128"/>
      <c r="H36" s="126"/>
      <c r="L36" s="115"/>
      <c r="M36" s="113"/>
      <c r="N36" s="116"/>
    </row>
    <row r="37" spans="2:14" s="106" customFormat="1" ht="15.75">
      <c r="B37" s="138"/>
      <c r="C37" s="131" t="s">
        <v>85</v>
      </c>
      <c r="D37" s="132"/>
      <c r="E37" s="118">
        <f>SUM(E31:E36)/6</f>
      </c>
      <c r="G37" s="129"/>
      <c r="H37" s="126"/>
      <c r="L37" s="115"/>
      <c r="M37" s="113"/>
      <c r="N37" s="116"/>
    </row>
    <row r="38" spans="2:14" s="106" customFormat="1" ht="15.75">
      <c r="L38" s="113"/>
      <c r="M38" s="113"/>
      <c r="N38" s="114"/>
    </row>
    <row r="39" spans="2:14" s="106" customFormat="1" ht="15.75">
      <c r="B39" s="139" t="s">
        <v>7</v>
      </c>
      <c r="C39" s="107" t="s">
        <v>43</v>
      </c>
      <c r="D39" s="108" t="s">
        <v>1</v>
      </c>
      <c r="E39" s="108" t="s">
        <v>2</v>
      </c>
      <c r="G39" s="108" t="s">
        <v>44</v>
      </c>
      <c r="H39" s="108" t="s">
        <v>45</v>
      </c>
      <c r="L39" s="115"/>
      <c r="M39" s="113"/>
      <c r="N39" s="116"/>
    </row>
    <row r="40" spans="2:14" s="106" customFormat="1" ht="15.75" customHeight="1">
      <c r="B40" s="139"/>
      <c r="C40" s="109">
        <v>1</v>
      </c>
      <c r="D40" s="112" t="s">
        <v>108</v>
      </c>
      <c r="E40" s="179">
        <v>0</v>
      </c>
      <c r="G40" s="127" t="str">
        <f>LOOKUP(E42,{0,0.79},{"PENGUKURAN BERHENTI DI SINI","PENGUKURAN DILANJUTKAN KE TKT BERIKUTNYA"})</f>
      </c>
      <c r="H40" s="126" t="str">
        <f>LOOKUP(E42,{0,0.79},{"5","LANJUT"})</f>
      </c>
      <c r="L40" s="115"/>
      <c r="M40" s="113"/>
      <c r="N40" s="116"/>
    </row>
    <row r="41" spans="2:14" s="106" customFormat="1" ht="45">
      <c r="B41" s="139"/>
      <c r="C41" s="109">
        <v>2</v>
      </c>
      <c r="D41" s="112" t="s">
        <v>109</v>
      </c>
      <c r="E41" s="179">
        <v>0</v>
      </c>
      <c r="G41" s="128"/>
      <c r="H41" s="126"/>
      <c r="L41" s="115"/>
      <c r="M41" s="113"/>
      <c r="N41" s="116"/>
    </row>
    <row r="42" spans="2:14" s="106" customFormat="1" ht="15.75">
      <c r="B42" s="139"/>
      <c r="C42" s="131" t="s">
        <v>85</v>
      </c>
      <c r="D42" s="132"/>
      <c r="E42" s="118">
        <f>SUM(E40:E41)/2</f>
      </c>
      <c r="G42" s="129"/>
      <c r="H42" s="126"/>
    </row>
    <row r="43" spans="2:14" s="106" customFormat="1"/>
    <row r="44" spans="2:14" s="106" customFormat="1" ht="15.75">
      <c r="B44" s="140" t="s">
        <v>40</v>
      </c>
      <c r="C44" s="107" t="s">
        <v>43</v>
      </c>
      <c r="D44" s="108" t="s">
        <v>1</v>
      </c>
      <c r="E44" s="108" t="s">
        <v>2</v>
      </c>
      <c r="G44" s="108" t="s">
        <v>44</v>
      </c>
      <c r="H44" s="108" t="s">
        <v>45</v>
      </c>
      <c r="L44" s="113"/>
      <c r="M44" s="113"/>
      <c r="N44" s="114"/>
    </row>
    <row r="45" spans="2:14" s="106" customFormat="1">
      <c r="B45" s="140"/>
      <c r="C45" s="109">
        <v>1</v>
      </c>
      <c r="D45" s="112" t="s">
        <v>110</v>
      </c>
      <c r="E45" s="179">
        <v>0</v>
      </c>
      <c r="G45" s="127" t="str">
        <f>LOOKUP(E47,{0,0.79},{"PENGUKURAN BERHENTI DI SINI","PENGUKURAN DILANJUTKAN KE TKT BERIKUTNYA"})</f>
      </c>
      <c r="H45" s="126" t="str">
        <f>LOOKUP(E47,{0,0.79},{"6","LANJUT"})</f>
      </c>
      <c r="L45" s="115"/>
      <c r="M45" s="113"/>
      <c r="N45" s="116"/>
    </row>
    <row r="46" spans="2:14" s="106" customFormat="1" ht="45">
      <c r="B46" s="140"/>
      <c r="C46" s="109">
        <v>2</v>
      </c>
      <c r="D46" s="112" t="s">
        <v>111</v>
      </c>
      <c r="E46" s="179">
        <v>0</v>
      </c>
      <c r="G46" s="128"/>
      <c r="H46" s="126"/>
      <c r="L46" s="115"/>
      <c r="M46" s="113"/>
      <c r="N46" s="116"/>
    </row>
    <row r="47" spans="2:14" s="106" customFormat="1" ht="15.75">
      <c r="B47" s="140"/>
      <c r="C47" s="131" t="s">
        <v>85</v>
      </c>
      <c r="D47" s="132"/>
      <c r="E47" s="118">
        <f>SUM(E45:E46)/2</f>
      </c>
      <c r="G47" s="129"/>
      <c r="H47" s="126"/>
      <c r="L47" s="115"/>
      <c r="M47" s="113"/>
      <c r="N47" s="116"/>
    </row>
    <row r="48" spans="2:14" s="106" customFormat="1">
      <c r="L48" s="115"/>
      <c r="M48" s="113"/>
      <c r="N48" s="116"/>
    </row>
    <row r="49" spans="2:14" s="106" customFormat="1" ht="15.75">
      <c r="B49" s="130" t="s">
        <v>41</v>
      </c>
      <c r="C49" s="107" t="s">
        <v>43</v>
      </c>
      <c r="D49" s="108" t="s">
        <v>1</v>
      </c>
      <c r="E49" s="108" t="s">
        <v>2</v>
      </c>
      <c r="G49" s="108" t="s">
        <v>44</v>
      </c>
      <c r="H49" s="108" t="s">
        <v>45</v>
      </c>
      <c r="L49" s="115"/>
      <c r="M49" s="113"/>
      <c r="N49" s="116"/>
    </row>
    <row r="50" spans="2:14" s="106" customFormat="1" ht="30">
      <c r="B50" s="130"/>
      <c r="C50" s="109">
        <v>1</v>
      </c>
      <c r="D50" s="112" t="s">
        <v>112</v>
      </c>
      <c r="E50" s="179">
        <v>0</v>
      </c>
      <c r="G50" s="127" t="str">
        <f>LOOKUP(E53,{0,0.79},{"PENGUKURAN BERHENTI DI SINI","PENGUKURAN DILANJUTKAN KE TKT BERIKUTNYA"})</f>
      </c>
      <c r="H50" s="126" t="str">
        <f>LOOKUP(E53,{0,0.79},{"7","LANJUT"})</f>
      </c>
      <c r="L50" s="115"/>
      <c r="M50" s="113"/>
      <c r="N50" s="116"/>
    </row>
    <row r="51" spans="2:14" s="106" customFormat="1">
      <c r="B51" s="130"/>
      <c r="C51" s="109">
        <v>2</v>
      </c>
      <c r="D51" s="112" t="s">
        <v>113</v>
      </c>
      <c r="E51" s="179">
        <v>0</v>
      </c>
      <c r="G51" s="128"/>
      <c r="H51" s="126"/>
      <c r="L51" s="115"/>
      <c r="M51" s="113"/>
      <c r="N51" s="116"/>
    </row>
    <row r="52" spans="2:14" s="106" customFormat="1">
      <c r="B52" s="130"/>
      <c r="C52" s="109">
        <v>3</v>
      </c>
      <c r="D52" s="112" t="s">
        <v>114</v>
      </c>
      <c r="E52" s="179">
        <v>0</v>
      </c>
      <c r="G52" s="128"/>
      <c r="H52" s="126"/>
    </row>
    <row r="53" spans="2:14" s="106" customFormat="1" ht="15.75">
      <c r="B53" s="130"/>
      <c r="C53" s="131" t="s">
        <v>85</v>
      </c>
      <c r="D53" s="132"/>
      <c r="E53" s="118">
        <f>SUM(E50:E52)/3</f>
      </c>
      <c r="G53" s="129"/>
      <c r="H53" s="126"/>
    </row>
    <row r="54" spans="2:14" s="106" customFormat="1"/>
    <row r="55" spans="2:14" s="106" customFormat="1" ht="15.75">
      <c r="B55" s="133" t="s">
        <v>42</v>
      </c>
      <c r="C55" s="107" t="s">
        <v>43</v>
      </c>
      <c r="D55" s="108" t="s">
        <v>1</v>
      </c>
      <c r="E55" s="108" t="s">
        <v>2</v>
      </c>
      <c r="G55" s="108" t="s">
        <v>44</v>
      </c>
      <c r="H55" s="108" t="s">
        <v>45</v>
      </c>
      <c r="L55" s="113"/>
      <c r="M55" s="113"/>
      <c r="N55" s="114"/>
    </row>
    <row r="56" spans="2:14" s="106" customFormat="1" ht="30">
      <c r="B56" s="133"/>
      <c r="C56" s="109">
        <v>1</v>
      </c>
      <c r="D56" s="112" t="s">
        <v>115</v>
      </c>
      <c r="E56" s="179">
        <v>0</v>
      </c>
      <c r="G56" s="127" t="str">
        <f>LOOKUP(E62,{0,0.79},{"PENGUKURAN BERHENTI DI SINI","PENGUKURAN BERHENTI DI SINI"})</f>
      </c>
      <c r="H56" s="126" t="str">
        <f>LOOKUP(E62,{0,0.79},{"8","9"})</f>
      </c>
      <c r="L56" s="115"/>
      <c r="M56" s="113"/>
      <c r="N56" s="116"/>
    </row>
    <row r="57" spans="2:14" s="106" customFormat="1" ht="30">
      <c r="B57" s="133"/>
      <c r="C57" s="109">
        <v>2</v>
      </c>
      <c r="D57" s="112" t="s">
        <v>116</v>
      </c>
      <c r="E57" s="179">
        <v>0</v>
      </c>
      <c r="G57" s="128"/>
      <c r="H57" s="126"/>
      <c r="L57" s="115"/>
      <c r="M57" s="113"/>
      <c r="N57" s="116"/>
    </row>
    <row r="58" spans="2:14" s="106" customFormat="1">
      <c r="B58" s="133"/>
      <c r="C58" s="109">
        <v>3</v>
      </c>
      <c r="D58" s="112" t="s">
        <v>117</v>
      </c>
      <c r="E58" s="179">
        <v>0</v>
      </c>
      <c r="G58" s="128"/>
      <c r="H58" s="126"/>
      <c r="L58" s="115"/>
      <c r="M58" s="113"/>
      <c r="N58" s="116"/>
    </row>
    <row r="59" spans="2:14" s="106" customFormat="1">
      <c r="B59" s="133"/>
      <c r="C59" s="109">
        <v>4</v>
      </c>
      <c r="D59" s="112" t="s">
        <v>118</v>
      </c>
      <c r="E59" s="179">
        <v>0</v>
      </c>
      <c r="G59" s="128"/>
      <c r="H59" s="126"/>
      <c r="L59" s="115"/>
      <c r="M59" s="113"/>
      <c r="N59" s="116"/>
    </row>
    <row r="60" spans="2:14" s="106" customFormat="1">
      <c r="B60" s="133"/>
      <c r="C60" s="109">
        <v>5</v>
      </c>
      <c r="D60" s="112" t="s">
        <v>119</v>
      </c>
      <c r="E60" s="179">
        <v>0</v>
      </c>
      <c r="G60" s="128"/>
      <c r="H60" s="126"/>
      <c r="L60" s="115"/>
      <c r="M60" s="113"/>
      <c r="N60" s="116"/>
    </row>
    <row r="61" spans="2:14" s="106" customFormat="1">
      <c r="B61" s="133"/>
      <c r="C61" s="109">
        <v>6</v>
      </c>
      <c r="D61" s="112" t="s">
        <v>120</v>
      </c>
      <c r="E61" s="179">
        <v>0</v>
      </c>
      <c r="G61" s="128"/>
      <c r="H61" s="126"/>
      <c r="L61" s="115"/>
      <c r="M61" s="113"/>
      <c r="N61" s="116"/>
    </row>
    <row r="62" spans="2:14" s="106" customFormat="1" ht="15.75">
      <c r="B62" s="133"/>
      <c r="C62" s="131" t="s">
        <v>85</v>
      </c>
      <c r="D62" s="132"/>
      <c r="E62" s="118">
        <f>SUM(E56:E61)/6</f>
      </c>
      <c r="G62" s="129"/>
      <c r="H62" s="126"/>
    </row>
    <row r="63" spans="2:14"/>
    <row r="64" spans="2:1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</sheetData>
  <sheetProtection algorithmName="SHA-512" hashValue="0n7NirlfoybuUfMZIl6aq3Rrp7fREEX3yVl1Ql6towjKrdVh4i3/Ziy6XH/YlNGzlOOMX2JeYTBOAhf9mZebfw==" saltValue="LPkQHHaYYhw7oRr3NBXiyg==" spinCount="100000" sheet="1" objects="1" scenarios="1"/>
  <mergeCells count="37">
    <mergeCell ref="B30:B37"/>
    <mergeCell ref="C37:D37"/>
    <mergeCell ref="B39:B42"/>
    <mergeCell ref="C42:D42"/>
    <mergeCell ref="B44:B47"/>
    <mergeCell ref="B49:B53"/>
    <mergeCell ref="C53:D53"/>
    <mergeCell ref="B55:B62"/>
    <mergeCell ref="C62:D62"/>
    <mergeCell ref="G5:G8"/>
    <mergeCell ref="G17:G20"/>
    <mergeCell ref="G40:G42"/>
    <mergeCell ref="B4:B8"/>
    <mergeCell ref="C8:D8"/>
    <mergeCell ref="B10:B14"/>
    <mergeCell ref="C14:D14"/>
    <mergeCell ref="B16:B20"/>
    <mergeCell ref="C20:D20"/>
    <mergeCell ref="C47:D47"/>
    <mergeCell ref="B22:B28"/>
    <mergeCell ref="C28:D28"/>
    <mergeCell ref="A2:I2"/>
    <mergeCell ref="H40:H42"/>
    <mergeCell ref="G45:G47"/>
    <mergeCell ref="H45:H47"/>
    <mergeCell ref="G56:G62"/>
    <mergeCell ref="H56:H62"/>
    <mergeCell ref="G50:G53"/>
    <mergeCell ref="H50:H53"/>
    <mergeCell ref="H17:H20"/>
    <mergeCell ref="G23:G28"/>
    <mergeCell ref="H23:H28"/>
    <mergeCell ref="G31:G37"/>
    <mergeCell ref="H31:H37"/>
    <mergeCell ref="H5:H8"/>
    <mergeCell ref="G11:G14"/>
    <mergeCell ref="H11:H14"/>
  </mergeCells>
  <dataValidations count="1">
    <dataValidation type="list" allowBlank="1" showInputMessage="1" showErrorMessage="1" sqref="E5:E7 E56:E61 E11:E13 E23:E27 E31:E36 E40:E41 E45:E46 E50:E52 E17:E19">
      <formula1>$O$5:$O$10</formula1>
    </dataValidation>
  </dataValidations>
  <pageMargins left="0.7" right="0.7" top="0.75" bottom="0.75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WE204"/>
  <sheetViews>
    <sheetView tabSelected="1" topLeftCell="F4" workbookViewId="0">
      <selection activeCell="L20" sqref="L20"/>
    </sheetView>
  </sheetViews>
  <sheetFormatPr defaultColWidth="0" defaultRowHeight="15" zeroHeight="1"/>
  <cols>
    <col min="1" max="1" width="11" style="5" hidden="1" customWidth="1"/>
    <col min="2" max="2" width="4.7109375" style="5" hidden="1" customWidth="1"/>
    <col min="3" max="3" width="7.7109375" style="5" hidden="1" customWidth="1"/>
    <col min="4" max="4" width="7.5703125" style="5" hidden="1" customWidth="1"/>
    <col min="5" max="5" width="4.7109375" style="5" hidden="1" customWidth="1"/>
    <col min="6" max="6" width="3.7109375" style="5" customWidth="1"/>
    <col min="7" max="7" width="4.28515625" style="5" customWidth="1"/>
    <col min="8" max="8" width="30.28515625" style="5" customWidth="1"/>
    <col min="9" max="9" width="6" style="5" customWidth="1"/>
    <col min="10" max="10" width="4.140625" style="5" customWidth="1"/>
    <col min="11" max="11" width="2.85546875" style="5" customWidth="1"/>
    <col min="12" max="12" width="6.7109375" style="5" customWidth="1"/>
    <col min="13" max="13" width="2.5703125" style="5" customWidth="1"/>
    <col min="14" max="14" width="1.42578125" style="5" customWidth="1"/>
    <col min="15" max="15" width="4.85546875" style="6" customWidth="1"/>
    <col min="16" max="16" width="4.28515625" style="5" customWidth="1"/>
    <col min="17" max="17" width="10.5703125" style="5" customWidth="1"/>
    <col min="18" max="18" width="2.28515625" style="5" customWidth="1"/>
    <col min="19" max="19" width="6.7109375" style="5" customWidth="1"/>
    <col min="20" max="20" width="13" style="5" customWidth="1"/>
    <col min="21" max="21" width="3.42578125" style="5" customWidth="1"/>
    <col min="22" max="22" width="4.140625" style="5" customWidth="1"/>
    <col min="23" max="23" width="11.7109375" style="5" customWidth="1"/>
    <col min="24" max="24" width="9.140625" style="5" customWidth="1"/>
    <col min="25" max="256" width="9.140625" style="5" hidden="1"/>
    <col min="257" max="257" width="11" style="5" hidden="1"/>
    <col min="258" max="258" width="4.7109375" style="5" hidden="1"/>
    <col min="259" max="259" width="7.7109375" style="5" hidden="1"/>
    <col min="260" max="260" width="7.5703125" style="5" hidden="1"/>
    <col min="261" max="261" width="4.7109375" style="5" hidden="1"/>
    <col min="262" max="262" width="3.7109375" style="5" hidden="1"/>
    <col min="263" max="263" width="4.28515625" style="5" hidden="1"/>
    <col min="264" max="264" width="30.28515625" style="5" hidden="1"/>
    <col min="265" max="265" width="6" style="5" hidden="1"/>
    <col min="266" max="266" width="4.140625" style="5" hidden="1"/>
    <col min="267" max="267" width="2.85546875" style="5" hidden="1"/>
    <col min="268" max="268" width="6.7109375" style="5" hidden="1"/>
    <col min="269" max="269" width="2.5703125" style="5" hidden="1"/>
    <col min="270" max="270" width="1.42578125" style="5" hidden="1"/>
    <col min="271" max="271" width="4.85546875" style="5" hidden="1"/>
    <col min="272" max="272" width="4.28515625" style="5" hidden="1"/>
    <col min="273" max="273" width="10.5703125" style="5" hidden="1"/>
    <col min="274" max="274" width="2.28515625" style="5" hidden="1"/>
    <col min="275" max="275" width="6.7109375" style="5" hidden="1"/>
    <col min="276" max="276" width="13" style="5" hidden="1"/>
    <col min="277" max="277" width="3.42578125" style="5" hidden="1"/>
    <col min="278" max="278" width="4.140625" style="5" hidden="1"/>
    <col min="279" max="279" width="11.7109375" style="5" hidden="1"/>
    <col min="280" max="512" width="9.140625" style="5" hidden="1"/>
    <col min="513" max="513" width="11" style="5" hidden="1"/>
    <col min="514" max="514" width="4.7109375" style="5" hidden="1"/>
    <col min="515" max="515" width="7.7109375" style="5" hidden="1"/>
    <col min="516" max="516" width="7.5703125" style="5" hidden="1"/>
    <col min="517" max="517" width="4.7109375" style="5" hidden="1"/>
    <col min="518" max="518" width="3.7109375" style="5" hidden="1"/>
    <col min="519" max="519" width="4.28515625" style="5" hidden="1"/>
    <col min="520" max="520" width="30.28515625" style="5" hidden="1"/>
    <col min="521" max="521" width="6" style="5" hidden="1"/>
    <col min="522" max="522" width="4.140625" style="5" hidden="1"/>
    <col min="523" max="523" width="2.85546875" style="5" hidden="1"/>
    <col min="524" max="524" width="6.7109375" style="5" hidden="1"/>
    <col min="525" max="525" width="2.5703125" style="5" hidden="1"/>
    <col min="526" max="526" width="1.42578125" style="5" hidden="1"/>
    <col min="527" max="527" width="4.85546875" style="5" hidden="1"/>
    <col min="528" max="528" width="4.28515625" style="5" hidden="1"/>
    <col min="529" max="529" width="10.5703125" style="5" hidden="1"/>
    <col min="530" max="530" width="2.28515625" style="5" hidden="1"/>
    <col min="531" max="531" width="6.7109375" style="5" hidden="1"/>
    <col min="532" max="532" width="13" style="5" hidden="1"/>
    <col min="533" max="533" width="3.42578125" style="5" hidden="1"/>
    <col min="534" max="534" width="4.140625" style="5" hidden="1"/>
    <col min="535" max="535" width="11.7109375" style="5" hidden="1"/>
    <col min="536" max="768" width="9.140625" style="5" hidden="1"/>
    <col min="769" max="769" width="11" style="5" hidden="1"/>
    <col min="770" max="770" width="4.7109375" style="5" hidden="1"/>
    <col min="771" max="771" width="7.7109375" style="5" hidden="1"/>
    <col min="772" max="772" width="7.5703125" style="5" hidden="1"/>
    <col min="773" max="773" width="4.7109375" style="5" hidden="1"/>
    <col min="774" max="774" width="3.7109375" style="5" hidden="1"/>
    <col min="775" max="775" width="4.28515625" style="5" hidden="1"/>
    <col min="776" max="776" width="30.28515625" style="5" hidden="1"/>
    <col min="777" max="777" width="6" style="5" hidden="1"/>
    <col min="778" max="778" width="4.140625" style="5" hidden="1"/>
    <col min="779" max="779" width="2.85546875" style="5" hidden="1"/>
    <col min="780" max="780" width="6.7109375" style="5" hidden="1"/>
    <col min="781" max="781" width="2.5703125" style="5" hidden="1"/>
    <col min="782" max="782" width="1.42578125" style="5" hidden="1"/>
    <col min="783" max="783" width="4.85546875" style="5" hidden="1"/>
    <col min="784" max="784" width="4.28515625" style="5" hidden="1"/>
    <col min="785" max="785" width="10.5703125" style="5" hidden="1"/>
    <col min="786" max="786" width="2.28515625" style="5" hidden="1"/>
    <col min="787" max="787" width="6.7109375" style="5" hidden="1"/>
    <col min="788" max="788" width="13" style="5" hidden="1"/>
    <col min="789" max="789" width="3.42578125" style="5" hidden="1"/>
    <col min="790" max="790" width="4.140625" style="5" hidden="1"/>
    <col min="791" max="791" width="11.7109375" style="5" hidden="1"/>
    <col min="792" max="1024" width="9.140625" style="5" hidden="1"/>
    <col min="1025" max="1025" width="11" style="5" hidden="1"/>
    <col min="1026" max="1026" width="4.7109375" style="5" hidden="1"/>
    <col min="1027" max="1027" width="7.7109375" style="5" hidden="1"/>
    <col min="1028" max="1028" width="7.5703125" style="5" hidden="1"/>
    <col min="1029" max="1029" width="4.7109375" style="5" hidden="1"/>
    <col min="1030" max="1030" width="3.7109375" style="5" hidden="1"/>
    <col min="1031" max="1031" width="4.28515625" style="5" hidden="1"/>
    <col min="1032" max="1032" width="30.28515625" style="5" hidden="1"/>
    <col min="1033" max="1033" width="6" style="5" hidden="1"/>
    <col min="1034" max="1034" width="4.140625" style="5" hidden="1"/>
    <col min="1035" max="1035" width="2.85546875" style="5" hidden="1"/>
    <col min="1036" max="1036" width="6.7109375" style="5" hidden="1"/>
    <col min="1037" max="1037" width="2.5703125" style="5" hidden="1"/>
    <col min="1038" max="1038" width="1.42578125" style="5" hidden="1"/>
    <col min="1039" max="1039" width="4.85546875" style="5" hidden="1"/>
    <col min="1040" max="1040" width="4.28515625" style="5" hidden="1"/>
    <col min="1041" max="1041" width="10.5703125" style="5" hidden="1"/>
    <col min="1042" max="1042" width="2.28515625" style="5" hidden="1"/>
    <col min="1043" max="1043" width="6.7109375" style="5" hidden="1"/>
    <col min="1044" max="1044" width="13" style="5" hidden="1"/>
    <col min="1045" max="1045" width="3.42578125" style="5" hidden="1"/>
    <col min="1046" max="1046" width="4.140625" style="5" hidden="1"/>
    <col min="1047" max="1047" width="11.7109375" style="5" hidden="1"/>
    <col min="1048" max="1280" width="9.140625" style="5" hidden="1"/>
    <col min="1281" max="1281" width="11" style="5" hidden="1"/>
    <col min="1282" max="1282" width="4.7109375" style="5" hidden="1"/>
    <col min="1283" max="1283" width="7.7109375" style="5" hidden="1"/>
    <col min="1284" max="1284" width="7.5703125" style="5" hidden="1"/>
    <col min="1285" max="1285" width="4.7109375" style="5" hidden="1"/>
    <col min="1286" max="1286" width="3.7109375" style="5" hidden="1"/>
    <col min="1287" max="1287" width="4.28515625" style="5" hidden="1"/>
    <col min="1288" max="1288" width="30.28515625" style="5" hidden="1"/>
    <col min="1289" max="1289" width="6" style="5" hidden="1"/>
    <col min="1290" max="1290" width="4.140625" style="5" hidden="1"/>
    <col min="1291" max="1291" width="2.85546875" style="5" hidden="1"/>
    <col min="1292" max="1292" width="6.7109375" style="5" hidden="1"/>
    <col min="1293" max="1293" width="2.5703125" style="5" hidden="1"/>
    <col min="1294" max="1294" width="1.42578125" style="5" hidden="1"/>
    <col min="1295" max="1295" width="4.85546875" style="5" hidden="1"/>
    <col min="1296" max="1296" width="4.28515625" style="5" hidden="1"/>
    <col min="1297" max="1297" width="10.5703125" style="5" hidden="1"/>
    <col min="1298" max="1298" width="2.28515625" style="5" hidden="1"/>
    <col min="1299" max="1299" width="6.7109375" style="5" hidden="1"/>
    <col min="1300" max="1300" width="13" style="5" hidden="1"/>
    <col min="1301" max="1301" width="3.42578125" style="5" hidden="1"/>
    <col min="1302" max="1302" width="4.140625" style="5" hidden="1"/>
    <col min="1303" max="1303" width="11.7109375" style="5" hidden="1"/>
    <col min="1304" max="1536" width="9.140625" style="5" hidden="1"/>
    <col min="1537" max="1537" width="11" style="5" hidden="1"/>
    <col min="1538" max="1538" width="4.7109375" style="5" hidden="1"/>
    <col min="1539" max="1539" width="7.7109375" style="5" hidden="1"/>
    <col min="1540" max="1540" width="7.5703125" style="5" hidden="1"/>
    <col min="1541" max="1541" width="4.7109375" style="5" hidden="1"/>
    <col min="1542" max="1542" width="3.7109375" style="5" hidden="1"/>
    <col min="1543" max="1543" width="4.28515625" style="5" hidden="1"/>
    <col min="1544" max="1544" width="30.28515625" style="5" hidden="1"/>
    <col min="1545" max="1545" width="6" style="5" hidden="1"/>
    <col min="1546" max="1546" width="4.140625" style="5" hidden="1"/>
    <col min="1547" max="1547" width="2.85546875" style="5" hidden="1"/>
    <col min="1548" max="1548" width="6.7109375" style="5" hidden="1"/>
    <col min="1549" max="1549" width="2.5703125" style="5" hidden="1"/>
    <col min="1550" max="1550" width="1.42578125" style="5" hidden="1"/>
    <col min="1551" max="1551" width="4.85546875" style="5" hidden="1"/>
    <col min="1552" max="1552" width="4.28515625" style="5" hidden="1"/>
    <col min="1553" max="1553" width="10.5703125" style="5" hidden="1"/>
    <col min="1554" max="1554" width="2.28515625" style="5" hidden="1"/>
    <col min="1555" max="1555" width="6.7109375" style="5" hidden="1"/>
    <col min="1556" max="1556" width="13" style="5" hidden="1"/>
    <col min="1557" max="1557" width="3.42578125" style="5" hidden="1"/>
    <col min="1558" max="1558" width="4.140625" style="5" hidden="1"/>
    <col min="1559" max="1559" width="11.7109375" style="5" hidden="1"/>
    <col min="1560" max="1792" width="9.140625" style="5" hidden="1"/>
    <col min="1793" max="1793" width="11" style="5" hidden="1"/>
    <col min="1794" max="1794" width="4.7109375" style="5" hidden="1"/>
    <col min="1795" max="1795" width="7.7109375" style="5" hidden="1"/>
    <col min="1796" max="1796" width="7.5703125" style="5" hidden="1"/>
    <col min="1797" max="1797" width="4.7109375" style="5" hidden="1"/>
    <col min="1798" max="1798" width="3.7109375" style="5" hidden="1"/>
    <col min="1799" max="1799" width="4.28515625" style="5" hidden="1"/>
    <col min="1800" max="1800" width="30.28515625" style="5" hidden="1"/>
    <col min="1801" max="1801" width="6" style="5" hidden="1"/>
    <col min="1802" max="1802" width="4.140625" style="5" hidden="1"/>
    <col min="1803" max="1803" width="2.85546875" style="5" hidden="1"/>
    <col min="1804" max="1804" width="6.7109375" style="5" hidden="1"/>
    <col min="1805" max="1805" width="2.5703125" style="5" hidden="1"/>
    <col min="1806" max="1806" width="1.42578125" style="5" hidden="1"/>
    <col min="1807" max="1807" width="4.85546875" style="5" hidden="1"/>
    <col min="1808" max="1808" width="4.28515625" style="5" hidden="1"/>
    <col min="1809" max="1809" width="10.5703125" style="5" hidden="1"/>
    <col min="1810" max="1810" width="2.28515625" style="5" hidden="1"/>
    <col min="1811" max="1811" width="6.7109375" style="5" hidden="1"/>
    <col min="1812" max="1812" width="13" style="5" hidden="1"/>
    <col min="1813" max="1813" width="3.42578125" style="5" hidden="1"/>
    <col min="1814" max="1814" width="4.140625" style="5" hidden="1"/>
    <col min="1815" max="1815" width="11.7109375" style="5" hidden="1"/>
    <col min="1816" max="2048" width="9.140625" style="5" hidden="1"/>
    <col min="2049" max="2049" width="11" style="5" hidden="1"/>
    <col min="2050" max="2050" width="4.7109375" style="5" hidden="1"/>
    <col min="2051" max="2051" width="7.7109375" style="5" hidden="1"/>
    <col min="2052" max="2052" width="7.5703125" style="5" hidden="1"/>
    <col min="2053" max="2053" width="4.7109375" style="5" hidden="1"/>
    <col min="2054" max="2054" width="3.7109375" style="5" hidden="1"/>
    <col min="2055" max="2055" width="4.28515625" style="5" hidden="1"/>
    <col min="2056" max="2056" width="30.28515625" style="5" hidden="1"/>
    <col min="2057" max="2057" width="6" style="5" hidden="1"/>
    <col min="2058" max="2058" width="4.140625" style="5" hidden="1"/>
    <col min="2059" max="2059" width="2.85546875" style="5" hidden="1"/>
    <col min="2060" max="2060" width="6.7109375" style="5" hidden="1"/>
    <col min="2061" max="2061" width="2.5703125" style="5" hidden="1"/>
    <col min="2062" max="2062" width="1.42578125" style="5" hidden="1"/>
    <col min="2063" max="2063" width="4.85546875" style="5" hidden="1"/>
    <col min="2064" max="2064" width="4.28515625" style="5" hidden="1"/>
    <col min="2065" max="2065" width="10.5703125" style="5" hidden="1"/>
    <col min="2066" max="2066" width="2.28515625" style="5" hidden="1"/>
    <col min="2067" max="2067" width="6.7109375" style="5" hidden="1"/>
    <col min="2068" max="2068" width="13" style="5" hidden="1"/>
    <col min="2069" max="2069" width="3.42578125" style="5" hidden="1"/>
    <col min="2070" max="2070" width="4.140625" style="5" hidden="1"/>
    <col min="2071" max="2071" width="11.7109375" style="5" hidden="1"/>
    <col min="2072" max="2304" width="9.140625" style="5" hidden="1"/>
    <col min="2305" max="2305" width="11" style="5" hidden="1"/>
    <col min="2306" max="2306" width="4.7109375" style="5" hidden="1"/>
    <col min="2307" max="2307" width="7.7109375" style="5" hidden="1"/>
    <col min="2308" max="2308" width="7.5703125" style="5" hidden="1"/>
    <col min="2309" max="2309" width="4.7109375" style="5" hidden="1"/>
    <col min="2310" max="2310" width="3.7109375" style="5" hidden="1"/>
    <col min="2311" max="2311" width="4.28515625" style="5" hidden="1"/>
    <col min="2312" max="2312" width="30.28515625" style="5" hidden="1"/>
    <col min="2313" max="2313" width="6" style="5" hidden="1"/>
    <col min="2314" max="2314" width="4.140625" style="5" hidden="1"/>
    <col min="2315" max="2315" width="2.85546875" style="5" hidden="1"/>
    <col min="2316" max="2316" width="6.7109375" style="5" hidden="1"/>
    <col min="2317" max="2317" width="2.5703125" style="5" hidden="1"/>
    <col min="2318" max="2318" width="1.42578125" style="5" hidden="1"/>
    <col min="2319" max="2319" width="4.85546875" style="5" hidden="1"/>
    <col min="2320" max="2320" width="4.28515625" style="5" hidden="1"/>
    <col min="2321" max="2321" width="10.5703125" style="5" hidden="1"/>
    <col min="2322" max="2322" width="2.28515625" style="5" hidden="1"/>
    <col min="2323" max="2323" width="6.7109375" style="5" hidden="1"/>
    <col min="2324" max="2324" width="13" style="5" hidden="1"/>
    <col min="2325" max="2325" width="3.42578125" style="5" hidden="1"/>
    <col min="2326" max="2326" width="4.140625" style="5" hidden="1"/>
    <col min="2327" max="2327" width="11.7109375" style="5" hidden="1"/>
    <col min="2328" max="2560" width="9.140625" style="5" hidden="1"/>
    <col min="2561" max="2561" width="11" style="5" hidden="1"/>
    <col min="2562" max="2562" width="4.7109375" style="5" hidden="1"/>
    <col min="2563" max="2563" width="7.7109375" style="5" hidden="1"/>
    <col min="2564" max="2564" width="7.5703125" style="5" hidden="1"/>
    <col min="2565" max="2565" width="4.7109375" style="5" hidden="1"/>
    <col min="2566" max="2566" width="3.7109375" style="5" hidden="1"/>
    <col min="2567" max="2567" width="4.28515625" style="5" hidden="1"/>
    <col min="2568" max="2568" width="30.28515625" style="5" hidden="1"/>
    <col min="2569" max="2569" width="6" style="5" hidden="1"/>
    <col min="2570" max="2570" width="4.140625" style="5" hidden="1"/>
    <col min="2571" max="2571" width="2.85546875" style="5" hidden="1"/>
    <col min="2572" max="2572" width="6.7109375" style="5" hidden="1"/>
    <col min="2573" max="2573" width="2.5703125" style="5" hidden="1"/>
    <col min="2574" max="2574" width="1.42578125" style="5" hidden="1"/>
    <col min="2575" max="2575" width="4.85546875" style="5" hidden="1"/>
    <col min="2576" max="2576" width="4.28515625" style="5" hidden="1"/>
    <col min="2577" max="2577" width="10.5703125" style="5" hidden="1"/>
    <col min="2578" max="2578" width="2.28515625" style="5" hidden="1"/>
    <col min="2579" max="2579" width="6.7109375" style="5" hidden="1"/>
    <col min="2580" max="2580" width="13" style="5" hidden="1"/>
    <col min="2581" max="2581" width="3.42578125" style="5" hidden="1"/>
    <col min="2582" max="2582" width="4.140625" style="5" hidden="1"/>
    <col min="2583" max="2583" width="11.7109375" style="5" hidden="1"/>
    <col min="2584" max="2816" width="9.140625" style="5" hidden="1"/>
    <col min="2817" max="2817" width="11" style="5" hidden="1"/>
    <col min="2818" max="2818" width="4.7109375" style="5" hidden="1"/>
    <col min="2819" max="2819" width="7.7109375" style="5" hidden="1"/>
    <col min="2820" max="2820" width="7.5703125" style="5" hidden="1"/>
    <col min="2821" max="2821" width="4.7109375" style="5" hidden="1"/>
    <col min="2822" max="2822" width="3.7109375" style="5" hidden="1"/>
    <col min="2823" max="2823" width="4.28515625" style="5" hidden="1"/>
    <col min="2824" max="2824" width="30.28515625" style="5" hidden="1"/>
    <col min="2825" max="2825" width="6" style="5" hidden="1"/>
    <col min="2826" max="2826" width="4.140625" style="5" hidden="1"/>
    <col min="2827" max="2827" width="2.85546875" style="5" hidden="1"/>
    <col min="2828" max="2828" width="6.7109375" style="5" hidden="1"/>
    <col min="2829" max="2829" width="2.5703125" style="5" hidden="1"/>
    <col min="2830" max="2830" width="1.42578125" style="5" hidden="1"/>
    <col min="2831" max="2831" width="4.85546875" style="5" hidden="1"/>
    <col min="2832" max="2832" width="4.28515625" style="5" hidden="1"/>
    <col min="2833" max="2833" width="10.5703125" style="5" hidden="1"/>
    <col min="2834" max="2834" width="2.28515625" style="5" hidden="1"/>
    <col min="2835" max="2835" width="6.7109375" style="5" hidden="1"/>
    <col min="2836" max="2836" width="13" style="5" hidden="1"/>
    <col min="2837" max="2837" width="3.42578125" style="5" hidden="1"/>
    <col min="2838" max="2838" width="4.140625" style="5" hidden="1"/>
    <col min="2839" max="2839" width="11.7109375" style="5" hidden="1"/>
    <col min="2840" max="3072" width="9.140625" style="5" hidden="1"/>
    <col min="3073" max="3073" width="11" style="5" hidden="1"/>
    <col min="3074" max="3074" width="4.7109375" style="5" hidden="1"/>
    <col min="3075" max="3075" width="7.7109375" style="5" hidden="1"/>
    <col min="3076" max="3076" width="7.5703125" style="5" hidden="1"/>
    <col min="3077" max="3077" width="4.7109375" style="5" hidden="1"/>
    <col min="3078" max="3078" width="3.7109375" style="5" hidden="1"/>
    <col min="3079" max="3079" width="4.28515625" style="5" hidden="1"/>
    <col min="3080" max="3080" width="30.28515625" style="5" hidden="1"/>
    <col min="3081" max="3081" width="6" style="5" hidden="1"/>
    <col min="3082" max="3082" width="4.140625" style="5" hidden="1"/>
    <col min="3083" max="3083" width="2.85546875" style="5" hidden="1"/>
    <col min="3084" max="3084" width="6.7109375" style="5" hidden="1"/>
    <col min="3085" max="3085" width="2.5703125" style="5" hidden="1"/>
    <col min="3086" max="3086" width="1.42578125" style="5" hidden="1"/>
    <col min="3087" max="3087" width="4.85546875" style="5" hidden="1"/>
    <col min="3088" max="3088" width="4.28515625" style="5" hidden="1"/>
    <col min="3089" max="3089" width="10.5703125" style="5" hidden="1"/>
    <col min="3090" max="3090" width="2.28515625" style="5" hidden="1"/>
    <col min="3091" max="3091" width="6.7109375" style="5" hidden="1"/>
    <col min="3092" max="3092" width="13" style="5" hidden="1"/>
    <col min="3093" max="3093" width="3.42578125" style="5" hidden="1"/>
    <col min="3094" max="3094" width="4.140625" style="5" hidden="1"/>
    <col min="3095" max="3095" width="11.7109375" style="5" hidden="1"/>
    <col min="3096" max="3328" width="9.140625" style="5" hidden="1"/>
    <col min="3329" max="3329" width="11" style="5" hidden="1"/>
    <col min="3330" max="3330" width="4.7109375" style="5" hidden="1"/>
    <col min="3331" max="3331" width="7.7109375" style="5" hidden="1"/>
    <col min="3332" max="3332" width="7.5703125" style="5" hidden="1"/>
    <col min="3333" max="3333" width="4.7109375" style="5" hidden="1"/>
    <col min="3334" max="3334" width="3.7109375" style="5" hidden="1"/>
    <col min="3335" max="3335" width="4.28515625" style="5" hidden="1"/>
    <col min="3336" max="3336" width="30.28515625" style="5" hidden="1"/>
    <col min="3337" max="3337" width="6" style="5" hidden="1"/>
    <col min="3338" max="3338" width="4.140625" style="5" hidden="1"/>
    <col min="3339" max="3339" width="2.85546875" style="5" hidden="1"/>
    <col min="3340" max="3340" width="6.7109375" style="5" hidden="1"/>
    <col min="3341" max="3341" width="2.5703125" style="5" hidden="1"/>
    <col min="3342" max="3342" width="1.42578125" style="5" hidden="1"/>
    <col min="3343" max="3343" width="4.85546875" style="5" hidden="1"/>
    <col min="3344" max="3344" width="4.28515625" style="5" hidden="1"/>
    <col min="3345" max="3345" width="10.5703125" style="5" hidden="1"/>
    <col min="3346" max="3346" width="2.28515625" style="5" hidden="1"/>
    <col min="3347" max="3347" width="6.7109375" style="5" hidden="1"/>
    <col min="3348" max="3348" width="13" style="5" hidden="1"/>
    <col min="3349" max="3349" width="3.42578125" style="5" hidden="1"/>
    <col min="3350" max="3350" width="4.140625" style="5" hidden="1"/>
    <col min="3351" max="3351" width="11.7109375" style="5" hidden="1"/>
    <col min="3352" max="3584" width="9.140625" style="5" hidden="1"/>
    <col min="3585" max="3585" width="11" style="5" hidden="1"/>
    <col min="3586" max="3586" width="4.7109375" style="5" hidden="1"/>
    <col min="3587" max="3587" width="7.7109375" style="5" hidden="1"/>
    <col min="3588" max="3588" width="7.5703125" style="5" hidden="1"/>
    <col min="3589" max="3589" width="4.7109375" style="5" hidden="1"/>
    <col min="3590" max="3590" width="3.7109375" style="5" hidden="1"/>
    <col min="3591" max="3591" width="4.28515625" style="5" hidden="1"/>
    <col min="3592" max="3592" width="30.28515625" style="5" hidden="1"/>
    <col min="3593" max="3593" width="6" style="5" hidden="1"/>
    <col min="3594" max="3594" width="4.140625" style="5" hidden="1"/>
    <col min="3595" max="3595" width="2.85546875" style="5" hidden="1"/>
    <col min="3596" max="3596" width="6.7109375" style="5" hidden="1"/>
    <col min="3597" max="3597" width="2.5703125" style="5" hidden="1"/>
    <col min="3598" max="3598" width="1.42578125" style="5" hidden="1"/>
    <col min="3599" max="3599" width="4.85546875" style="5" hidden="1"/>
    <col min="3600" max="3600" width="4.28515625" style="5" hidden="1"/>
    <col min="3601" max="3601" width="10.5703125" style="5" hidden="1"/>
    <col min="3602" max="3602" width="2.28515625" style="5" hidden="1"/>
    <col min="3603" max="3603" width="6.7109375" style="5" hidden="1"/>
    <col min="3604" max="3604" width="13" style="5" hidden="1"/>
    <col min="3605" max="3605" width="3.42578125" style="5" hidden="1"/>
    <col min="3606" max="3606" width="4.140625" style="5" hidden="1"/>
    <col min="3607" max="3607" width="11.7109375" style="5" hidden="1"/>
    <col min="3608" max="3840" width="9.140625" style="5" hidden="1"/>
    <col min="3841" max="3841" width="11" style="5" hidden="1"/>
    <col min="3842" max="3842" width="4.7109375" style="5" hidden="1"/>
    <col min="3843" max="3843" width="7.7109375" style="5" hidden="1"/>
    <col min="3844" max="3844" width="7.5703125" style="5" hidden="1"/>
    <col min="3845" max="3845" width="4.7109375" style="5" hidden="1"/>
    <col min="3846" max="3846" width="3.7109375" style="5" hidden="1"/>
    <col min="3847" max="3847" width="4.28515625" style="5" hidden="1"/>
    <col min="3848" max="3848" width="30.28515625" style="5" hidden="1"/>
    <col min="3849" max="3849" width="6" style="5" hidden="1"/>
    <col min="3850" max="3850" width="4.140625" style="5" hidden="1"/>
    <col min="3851" max="3851" width="2.85546875" style="5" hidden="1"/>
    <col min="3852" max="3852" width="6.7109375" style="5" hidden="1"/>
    <col min="3853" max="3853" width="2.5703125" style="5" hidden="1"/>
    <col min="3854" max="3854" width="1.42578125" style="5" hidden="1"/>
    <col min="3855" max="3855" width="4.85546875" style="5" hidden="1"/>
    <col min="3856" max="3856" width="4.28515625" style="5" hidden="1"/>
    <col min="3857" max="3857" width="10.5703125" style="5" hidden="1"/>
    <col min="3858" max="3858" width="2.28515625" style="5" hidden="1"/>
    <col min="3859" max="3859" width="6.7109375" style="5" hidden="1"/>
    <col min="3860" max="3860" width="13" style="5" hidden="1"/>
    <col min="3861" max="3861" width="3.42578125" style="5" hidden="1"/>
    <col min="3862" max="3862" width="4.140625" style="5" hidden="1"/>
    <col min="3863" max="3863" width="11.7109375" style="5" hidden="1"/>
    <col min="3864" max="4096" width="9.140625" style="5" hidden="1"/>
    <col min="4097" max="4097" width="11" style="5" hidden="1"/>
    <col min="4098" max="4098" width="4.7109375" style="5" hidden="1"/>
    <col min="4099" max="4099" width="7.7109375" style="5" hidden="1"/>
    <col min="4100" max="4100" width="7.5703125" style="5" hidden="1"/>
    <col min="4101" max="4101" width="4.7109375" style="5" hidden="1"/>
    <col min="4102" max="4102" width="3.7109375" style="5" hidden="1"/>
    <col min="4103" max="4103" width="4.28515625" style="5" hidden="1"/>
    <col min="4104" max="4104" width="30.28515625" style="5" hidden="1"/>
    <col min="4105" max="4105" width="6" style="5" hidden="1"/>
    <col min="4106" max="4106" width="4.140625" style="5" hidden="1"/>
    <col min="4107" max="4107" width="2.85546875" style="5" hidden="1"/>
    <col min="4108" max="4108" width="6.7109375" style="5" hidden="1"/>
    <col min="4109" max="4109" width="2.5703125" style="5" hidden="1"/>
    <col min="4110" max="4110" width="1.42578125" style="5" hidden="1"/>
    <col min="4111" max="4111" width="4.85546875" style="5" hidden="1"/>
    <col min="4112" max="4112" width="4.28515625" style="5" hidden="1"/>
    <col min="4113" max="4113" width="10.5703125" style="5" hidden="1"/>
    <col min="4114" max="4114" width="2.28515625" style="5" hidden="1"/>
    <col min="4115" max="4115" width="6.7109375" style="5" hidden="1"/>
    <col min="4116" max="4116" width="13" style="5" hidden="1"/>
    <col min="4117" max="4117" width="3.42578125" style="5" hidden="1"/>
    <col min="4118" max="4118" width="4.140625" style="5" hidden="1"/>
    <col min="4119" max="4119" width="11.7109375" style="5" hidden="1"/>
    <col min="4120" max="4352" width="9.140625" style="5" hidden="1"/>
    <col min="4353" max="4353" width="11" style="5" hidden="1"/>
    <col min="4354" max="4354" width="4.7109375" style="5" hidden="1"/>
    <col min="4355" max="4355" width="7.7109375" style="5" hidden="1"/>
    <col min="4356" max="4356" width="7.5703125" style="5" hidden="1"/>
    <col min="4357" max="4357" width="4.7109375" style="5" hidden="1"/>
    <col min="4358" max="4358" width="3.7109375" style="5" hidden="1"/>
    <col min="4359" max="4359" width="4.28515625" style="5" hidden="1"/>
    <col min="4360" max="4360" width="30.28515625" style="5" hidden="1"/>
    <col min="4361" max="4361" width="6" style="5" hidden="1"/>
    <col min="4362" max="4362" width="4.140625" style="5" hidden="1"/>
    <col min="4363" max="4363" width="2.85546875" style="5" hidden="1"/>
    <col min="4364" max="4364" width="6.7109375" style="5" hidden="1"/>
    <col min="4365" max="4365" width="2.5703125" style="5" hidden="1"/>
    <col min="4366" max="4366" width="1.42578125" style="5" hidden="1"/>
    <col min="4367" max="4367" width="4.85546875" style="5" hidden="1"/>
    <col min="4368" max="4368" width="4.28515625" style="5" hidden="1"/>
    <col min="4369" max="4369" width="10.5703125" style="5" hidden="1"/>
    <col min="4370" max="4370" width="2.28515625" style="5" hidden="1"/>
    <col min="4371" max="4371" width="6.7109375" style="5" hidden="1"/>
    <col min="4372" max="4372" width="13" style="5" hidden="1"/>
    <col min="4373" max="4373" width="3.42578125" style="5" hidden="1"/>
    <col min="4374" max="4374" width="4.140625" style="5" hidden="1"/>
    <col min="4375" max="4375" width="11.7109375" style="5" hidden="1"/>
    <col min="4376" max="4608" width="9.140625" style="5" hidden="1"/>
    <col min="4609" max="4609" width="11" style="5" hidden="1"/>
    <col min="4610" max="4610" width="4.7109375" style="5" hidden="1"/>
    <col min="4611" max="4611" width="7.7109375" style="5" hidden="1"/>
    <col min="4612" max="4612" width="7.5703125" style="5" hidden="1"/>
    <col min="4613" max="4613" width="4.7109375" style="5" hidden="1"/>
    <col min="4614" max="4614" width="3.7109375" style="5" hidden="1"/>
    <col min="4615" max="4615" width="4.28515625" style="5" hidden="1"/>
    <col min="4616" max="4616" width="30.28515625" style="5" hidden="1"/>
    <col min="4617" max="4617" width="6" style="5" hidden="1"/>
    <col min="4618" max="4618" width="4.140625" style="5" hidden="1"/>
    <col min="4619" max="4619" width="2.85546875" style="5" hidden="1"/>
    <col min="4620" max="4620" width="6.7109375" style="5" hidden="1"/>
    <col min="4621" max="4621" width="2.5703125" style="5" hidden="1"/>
    <col min="4622" max="4622" width="1.42578125" style="5" hidden="1"/>
    <col min="4623" max="4623" width="4.85546875" style="5" hidden="1"/>
    <col min="4624" max="4624" width="4.28515625" style="5" hidden="1"/>
    <col min="4625" max="4625" width="10.5703125" style="5" hidden="1"/>
    <col min="4626" max="4626" width="2.28515625" style="5" hidden="1"/>
    <col min="4627" max="4627" width="6.7109375" style="5" hidden="1"/>
    <col min="4628" max="4628" width="13" style="5" hidden="1"/>
    <col min="4629" max="4629" width="3.42578125" style="5" hidden="1"/>
    <col min="4630" max="4630" width="4.140625" style="5" hidden="1"/>
    <col min="4631" max="4631" width="11.7109375" style="5" hidden="1"/>
    <col min="4632" max="4864" width="9.140625" style="5" hidden="1"/>
    <col min="4865" max="4865" width="11" style="5" hidden="1"/>
    <col min="4866" max="4866" width="4.7109375" style="5" hidden="1"/>
    <col min="4867" max="4867" width="7.7109375" style="5" hidden="1"/>
    <col min="4868" max="4868" width="7.5703125" style="5" hidden="1"/>
    <col min="4869" max="4869" width="4.7109375" style="5" hidden="1"/>
    <col min="4870" max="4870" width="3.7109375" style="5" hidden="1"/>
    <col min="4871" max="4871" width="4.28515625" style="5" hidden="1"/>
    <col min="4872" max="4872" width="30.28515625" style="5" hidden="1"/>
    <col min="4873" max="4873" width="6" style="5" hidden="1"/>
    <col min="4874" max="4874" width="4.140625" style="5" hidden="1"/>
    <col min="4875" max="4875" width="2.85546875" style="5" hidden="1"/>
    <col min="4876" max="4876" width="6.7109375" style="5" hidden="1"/>
    <col min="4877" max="4877" width="2.5703125" style="5" hidden="1"/>
    <col min="4878" max="4878" width="1.42578125" style="5" hidden="1"/>
    <col min="4879" max="4879" width="4.85546875" style="5" hidden="1"/>
    <col min="4880" max="4880" width="4.28515625" style="5" hidden="1"/>
    <col min="4881" max="4881" width="10.5703125" style="5" hidden="1"/>
    <col min="4882" max="4882" width="2.28515625" style="5" hidden="1"/>
    <col min="4883" max="4883" width="6.7109375" style="5" hidden="1"/>
    <col min="4884" max="4884" width="13" style="5" hidden="1"/>
    <col min="4885" max="4885" width="3.42578125" style="5" hidden="1"/>
    <col min="4886" max="4886" width="4.140625" style="5" hidden="1"/>
    <col min="4887" max="4887" width="11.7109375" style="5" hidden="1"/>
    <col min="4888" max="5120" width="9.140625" style="5" hidden="1"/>
    <col min="5121" max="5121" width="11" style="5" hidden="1"/>
    <col min="5122" max="5122" width="4.7109375" style="5" hidden="1"/>
    <col min="5123" max="5123" width="7.7109375" style="5" hidden="1"/>
    <col min="5124" max="5124" width="7.5703125" style="5" hidden="1"/>
    <col min="5125" max="5125" width="4.7109375" style="5" hidden="1"/>
    <col min="5126" max="5126" width="3.7109375" style="5" hidden="1"/>
    <col min="5127" max="5127" width="4.28515625" style="5" hidden="1"/>
    <col min="5128" max="5128" width="30.28515625" style="5" hidden="1"/>
    <col min="5129" max="5129" width="6" style="5" hidden="1"/>
    <col min="5130" max="5130" width="4.140625" style="5" hidden="1"/>
    <col min="5131" max="5131" width="2.85546875" style="5" hidden="1"/>
    <col min="5132" max="5132" width="6.7109375" style="5" hidden="1"/>
    <col min="5133" max="5133" width="2.5703125" style="5" hidden="1"/>
    <col min="5134" max="5134" width="1.42578125" style="5" hidden="1"/>
    <col min="5135" max="5135" width="4.85546875" style="5" hidden="1"/>
    <col min="5136" max="5136" width="4.28515625" style="5" hidden="1"/>
    <col min="5137" max="5137" width="10.5703125" style="5" hidden="1"/>
    <col min="5138" max="5138" width="2.28515625" style="5" hidden="1"/>
    <col min="5139" max="5139" width="6.7109375" style="5" hidden="1"/>
    <col min="5140" max="5140" width="13" style="5" hidden="1"/>
    <col min="5141" max="5141" width="3.42578125" style="5" hidden="1"/>
    <col min="5142" max="5142" width="4.140625" style="5" hidden="1"/>
    <col min="5143" max="5143" width="11.7109375" style="5" hidden="1"/>
    <col min="5144" max="5376" width="9.140625" style="5" hidden="1"/>
    <col min="5377" max="5377" width="11" style="5" hidden="1"/>
    <col min="5378" max="5378" width="4.7109375" style="5" hidden="1"/>
    <col min="5379" max="5379" width="7.7109375" style="5" hidden="1"/>
    <col min="5380" max="5380" width="7.5703125" style="5" hidden="1"/>
    <col min="5381" max="5381" width="4.7109375" style="5" hidden="1"/>
    <col min="5382" max="5382" width="3.7109375" style="5" hidden="1"/>
    <col min="5383" max="5383" width="4.28515625" style="5" hidden="1"/>
    <col min="5384" max="5384" width="30.28515625" style="5" hidden="1"/>
    <col min="5385" max="5385" width="6" style="5" hidden="1"/>
    <col min="5386" max="5386" width="4.140625" style="5" hidden="1"/>
    <col min="5387" max="5387" width="2.85546875" style="5" hidden="1"/>
    <col min="5388" max="5388" width="6.7109375" style="5" hidden="1"/>
    <col min="5389" max="5389" width="2.5703125" style="5" hidden="1"/>
    <col min="5390" max="5390" width="1.42578125" style="5" hidden="1"/>
    <col min="5391" max="5391" width="4.85546875" style="5" hidden="1"/>
    <col min="5392" max="5392" width="4.28515625" style="5" hidden="1"/>
    <col min="5393" max="5393" width="10.5703125" style="5" hidden="1"/>
    <col min="5394" max="5394" width="2.28515625" style="5" hidden="1"/>
    <col min="5395" max="5395" width="6.7109375" style="5" hidden="1"/>
    <col min="5396" max="5396" width="13" style="5" hidden="1"/>
    <col min="5397" max="5397" width="3.42578125" style="5" hidden="1"/>
    <col min="5398" max="5398" width="4.140625" style="5" hidden="1"/>
    <col min="5399" max="5399" width="11.7109375" style="5" hidden="1"/>
    <col min="5400" max="5632" width="9.140625" style="5" hidden="1"/>
    <col min="5633" max="5633" width="11" style="5" hidden="1"/>
    <col min="5634" max="5634" width="4.7109375" style="5" hidden="1"/>
    <col min="5635" max="5635" width="7.7109375" style="5" hidden="1"/>
    <col min="5636" max="5636" width="7.5703125" style="5" hidden="1"/>
    <col min="5637" max="5637" width="4.7109375" style="5" hidden="1"/>
    <col min="5638" max="5638" width="3.7109375" style="5" hidden="1"/>
    <col min="5639" max="5639" width="4.28515625" style="5" hidden="1"/>
    <col min="5640" max="5640" width="30.28515625" style="5" hidden="1"/>
    <col min="5641" max="5641" width="6" style="5" hidden="1"/>
    <col min="5642" max="5642" width="4.140625" style="5" hidden="1"/>
    <col min="5643" max="5643" width="2.85546875" style="5" hidden="1"/>
    <col min="5644" max="5644" width="6.7109375" style="5" hidden="1"/>
    <col min="5645" max="5645" width="2.5703125" style="5" hidden="1"/>
    <col min="5646" max="5646" width="1.42578125" style="5" hidden="1"/>
    <col min="5647" max="5647" width="4.85546875" style="5" hidden="1"/>
    <col min="5648" max="5648" width="4.28515625" style="5" hidden="1"/>
    <col min="5649" max="5649" width="10.5703125" style="5" hidden="1"/>
    <col min="5650" max="5650" width="2.28515625" style="5" hidden="1"/>
    <col min="5651" max="5651" width="6.7109375" style="5" hidden="1"/>
    <col min="5652" max="5652" width="13" style="5" hidden="1"/>
    <col min="5653" max="5653" width="3.42578125" style="5" hidden="1"/>
    <col min="5654" max="5654" width="4.140625" style="5" hidden="1"/>
    <col min="5655" max="5655" width="11.7109375" style="5" hidden="1"/>
    <col min="5656" max="5888" width="9.140625" style="5" hidden="1"/>
    <col min="5889" max="5889" width="11" style="5" hidden="1"/>
    <col min="5890" max="5890" width="4.7109375" style="5" hidden="1"/>
    <col min="5891" max="5891" width="7.7109375" style="5" hidden="1"/>
    <col min="5892" max="5892" width="7.5703125" style="5" hidden="1"/>
    <col min="5893" max="5893" width="4.7109375" style="5" hidden="1"/>
    <col min="5894" max="5894" width="3.7109375" style="5" hidden="1"/>
    <col min="5895" max="5895" width="4.28515625" style="5" hidden="1"/>
    <col min="5896" max="5896" width="30.28515625" style="5" hidden="1"/>
    <col min="5897" max="5897" width="6" style="5" hidden="1"/>
    <col min="5898" max="5898" width="4.140625" style="5" hidden="1"/>
    <col min="5899" max="5899" width="2.85546875" style="5" hidden="1"/>
    <col min="5900" max="5900" width="6.7109375" style="5" hidden="1"/>
    <col min="5901" max="5901" width="2.5703125" style="5" hidden="1"/>
    <col min="5902" max="5902" width="1.42578125" style="5" hidden="1"/>
    <col min="5903" max="5903" width="4.85546875" style="5" hidden="1"/>
    <col min="5904" max="5904" width="4.28515625" style="5" hidden="1"/>
    <col min="5905" max="5905" width="10.5703125" style="5" hidden="1"/>
    <col min="5906" max="5906" width="2.28515625" style="5" hidden="1"/>
    <col min="5907" max="5907" width="6.7109375" style="5" hidden="1"/>
    <col min="5908" max="5908" width="13" style="5" hidden="1"/>
    <col min="5909" max="5909" width="3.42578125" style="5" hidden="1"/>
    <col min="5910" max="5910" width="4.140625" style="5" hidden="1"/>
    <col min="5911" max="5911" width="11.7109375" style="5" hidden="1"/>
    <col min="5912" max="6144" width="9.140625" style="5" hidden="1"/>
    <col min="6145" max="6145" width="11" style="5" hidden="1"/>
    <col min="6146" max="6146" width="4.7109375" style="5" hidden="1"/>
    <col min="6147" max="6147" width="7.7109375" style="5" hidden="1"/>
    <col min="6148" max="6148" width="7.5703125" style="5" hidden="1"/>
    <col min="6149" max="6149" width="4.7109375" style="5" hidden="1"/>
    <col min="6150" max="6150" width="3.7109375" style="5" hidden="1"/>
    <col min="6151" max="6151" width="4.28515625" style="5" hidden="1"/>
    <col min="6152" max="6152" width="30.28515625" style="5" hidden="1"/>
    <col min="6153" max="6153" width="6" style="5" hidden="1"/>
    <col min="6154" max="6154" width="4.140625" style="5" hidden="1"/>
    <col min="6155" max="6155" width="2.85546875" style="5" hidden="1"/>
    <col min="6156" max="6156" width="6.7109375" style="5" hidden="1"/>
    <col min="6157" max="6157" width="2.5703125" style="5" hidden="1"/>
    <col min="6158" max="6158" width="1.42578125" style="5" hidden="1"/>
    <col min="6159" max="6159" width="4.85546875" style="5" hidden="1"/>
    <col min="6160" max="6160" width="4.28515625" style="5" hidden="1"/>
    <col min="6161" max="6161" width="10.5703125" style="5" hidden="1"/>
    <col min="6162" max="6162" width="2.28515625" style="5" hidden="1"/>
    <col min="6163" max="6163" width="6.7109375" style="5" hidden="1"/>
    <col min="6164" max="6164" width="13" style="5" hidden="1"/>
    <col min="6165" max="6165" width="3.42578125" style="5" hidden="1"/>
    <col min="6166" max="6166" width="4.140625" style="5" hidden="1"/>
    <col min="6167" max="6167" width="11.7109375" style="5" hidden="1"/>
    <col min="6168" max="6400" width="9.140625" style="5" hidden="1"/>
    <col min="6401" max="6401" width="11" style="5" hidden="1"/>
    <col min="6402" max="6402" width="4.7109375" style="5" hidden="1"/>
    <col min="6403" max="6403" width="7.7109375" style="5" hidden="1"/>
    <col min="6404" max="6404" width="7.5703125" style="5" hidden="1"/>
    <col min="6405" max="6405" width="4.7109375" style="5" hidden="1"/>
    <col min="6406" max="6406" width="3.7109375" style="5" hidden="1"/>
    <col min="6407" max="6407" width="4.28515625" style="5" hidden="1"/>
    <col min="6408" max="6408" width="30.28515625" style="5" hidden="1"/>
    <col min="6409" max="6409" width="6" style="5" hidden="1"/>
    <col min="6410" max="6410" width="4.140625" style="5" hidden="1"/>
    <col min="6411" max="6411" width="2.85546875" style="5" hidden="1"/>
    <col min="6412" max="6412" width="6.7109375" style="5" hidden="1"/>
    <col min="6413" max="6413" width="2.5703125" style="5" hidden="1"/>
    <col min="6414" max="6414" width="1.42578125" style="5" hidden="1"/>
    <col min="6415" max="6415" width="4.85546875" style="5" hidden="1"/>
    <col min="6416" max="6416" width="4.28515625" style="5" hidden="1"/>
    <col min="6417" max="6417" width="10.5703125" style="5" hidden="1"/>
    <col min="6418" max="6418" width="2.28515625" style="5" hidden="1"/>
    <col min="6419" max="6419" width="6.7109375" style="5" hidden="1"/>
    <col min="6420" max="6420" width="13" style="5" hidden="1"/>
    <col min="6421" max="6421" width="3.42578125" style="5" hidden="1"/>
    <col min="6422" max="6422" width="4.140625" style="5" hidden="1"/>
    <col min="6423" max="6423" width="11.7109375" style="5" hidden="1"/>
    <col min="6424" max="6656" width="9.140625" style="5" hidden="1"/>
    <col min="6657" max="6657" width="11" style="5" hidden="1"/>
    <col min="6658" max="6658" width="4.7109375" style="5" hidden="1"/>
    <col min="6659" max="6659" width="7.7109375" style="5" hidden="1"/>
    <col min="6660" max="6660" width="7.5703125" style="5" hidden="1"/>
    <col min="6661" max="6661" width="4.7109375" style="5" hidden="1"/>
    <col min="6662" max="6662" width="3.7109375" style="5" hidden="1"/>
    <col min="6663" max="6663" width="4.28515625" style="5" hidden="1"/>
    <col min="6664" max="6664" width="30.28515625" style="5" hidden="1"/>
    <col min="6665" max="6665" width="6" style="5" hidden="1"/>
    <col min="6666" max="6666" width="4.140625" style="5" hidden="1"/>
    <col min="6667" max="6667" width="2.85546875" style="5" hidden="1"/>
    <col min="6668" max="6668" width="6.7109375" style="5" hidden="1"/>
    <col min="6669" max="6669" width="2.5703125" style="5" hidden="1"/>
    <col min="6670" max="6670" width="1.42578125" style="5" hidden="1"/>
    <col min="6671" max="6671" width="4.85546875" style="5" hidden="1"/>
    <col min="6672" max="6672" width="4.28515625" style="5" hidden="1"/>
    <col min="6673" max="6673" width="10.5703125" style="5" hidden="1"/>
    <col min="6674" max="6674" width="2.28515625" style="5" hidden="1"/>
    <col min="6675" max="6675" width="6.7109375" style="5" hidden="1"/>
    <col min="6676" max="6676" width="13" style="5" hidden="1"/>
    <col min="6677" max="6677" width="3.42578125" style="5" hidden="1"/>
    <col min="6678" max="6678" width="4.140625" style="5" hidden="1"/>
    <col min="6679" max="6679" width="11.7109375" style="5" hidden="1"/>
    <col min="6680" max="6912" width="9.140625" style="5" hidden="1"/>
    <col min="6913" max="6913" width="11" style="5" hidden="1"/>
    <col min="6914" max="6914" width="4.7109375" style="5" hidden="1"/>
    <col min="6915" max="6915" width="7.7109375" style="5" hidden="1"/>
    <col min="6916" max="6916" width="7.5703125" style="5" hidden="1"/>
    <col min="6917" max="6917" width="4.7109375" style="5" hidden="1"/>
    <col min="6918" max="6918" width="3.7109375" style="5" hidden="1"/>
    <col min="6919" max="6919" width="4.28515625" style="5" hidden="1"/>
    <col min="6920" max="6920" width="30.28515625" style="5" hidden="1"/>
    <col min="6921" max="6921" width="6" style="5" hidden="1"/>
    <col min="6922" max="6922" width="4.140625" style="5" hidden="1"/>
    <col min="6923" max="6923" width="2.85546875" style="5" hidden="1"/>
    <col min="6924" max="6924" width="6.7109375" style="5" hidden="1"/>
    <col min="6925" max="6925" width="2.5703125" style="5" hidden="1"/>
    <col min="6926" max="6926" width="1.42578125" style="5" hidden="1"/>
    <col min="6927" max="6927" width="4.85546875" style="5" hidden="1"/>
    <col min="6928" max="6928" width="4.28515625" style="5" hidden="1"/>
    <col min="6929" max="6929" width="10.5703125" style="5" hidden="1"/>
    <col min="6930" max="6930" width="2.28515625" style="5" hidden="1"/>
    <col min="6931" max="6931" width="6.7109375" style="5" hidden="1"/>
    <col min="6932" max="6932" width="13" style="5" hidden="1"/>
    <col min="6933" max="6933" width="3.42578125" style="5" hidden="1"/>
    <col min="6934" max="6934" width="4.140625" style="5" hidden="1"/>
    <col min="6935" max="6935" width="11.7109375" style="5" hidden="1"/>
    <col min="6936" max="7168" width="9.140625" style="5" hidden="1"/>
    <col min="7169" max="7169" width="11" style="5" hidden="1"/>
    <col min="7170" max="7170" width="4.7109375" style="5" hidden="1"/>
    <col min="7171" max="7171" width="7.7109375" style="5" hidden="1"/>
    <col min="7172" max="7172" width="7.5703125" style="5" hidden="1"/>
    <col min="7173" max="7173" width="4.7109375" style="5" hidden="1"/>
    <col min="7174" max="7174" width="3.7109375" style="5" hidden="1"/>
    <col min="7175" max="7175" width="4.28515625" style="5" hidden="1"/>
    <col min="7176" max="7176" width="30.28515625" style="5" hidden="1"/>
    <col min="7177" max="7177" width="6" style="5" hidden="1"/>
    <col min="7178" max="7178" width="4.140625" style="5" hidden="1"/>
    <col min="7179" max="7179" width="2.85546875" style="5" hidden="1"/>
    <col min="7180" max="7180" width="6.7109375" style="5" hidden="1"/>
    <col min="7181" max="7181" width="2.5703125" style="5" hidden="1"/>
    <col min="7182" max="7182" width="1.42578125" style="5" hidden="1"/>
    <col min="7183" max="7183" width="4.85546875" style="5" hidden="1"/>
    <col min="7184" max="7184" width="4.28515625" style="5" hidden="1"/>
    <col min="7185" max="7185" width="10.5703125" style="5" hidden="1"/>
    <col min="7186" max="7186" width="2.28515625" style="5" hidden="1"/>
    <col min="7187" max="7187" width="6.7109375" style="5" hidden="1"/>
    <col min="7188" max="7188" width="13" style="5" hidden="1"/>
    <col min="7189" max="7189" width="3.42578125" style="5" hidden="1"/>
    <col min="7190" max="7190" width="4.140625" style="5" hidden="1"/>
    <col min="7191" max="7191" width="11.7109375" style="5" hidden="1"/>
    <col min="7192" max="7424" width="9.140625" style="5" hidden="1"/>
    <col min="7425" max="7425" width="11" style="5" hidden="1"/>
    <col min="7426" max="7426" width="4.7109375" style="5" hidden="1"/>
    <col min="7427" max="7427" width="7.7109375" style="5" hidden="1"/>
    <col min="7428" max="7428" width="7.5703125" style="5" hidden="1"/>
    <col min="7429" max="7429" width="4.7109375" style="5" hidden="1"/>
    <col min="7430" max="7430" width="3.7109375" style="5" hidden="1"/>
    <col min="7431" max="7431" width="4.28515625" style="5" hidden="1"/>
    <col min="7432" max="7432" width="30.28515625" style="5" hidden="1"/>
    <col min="7433" max="7433" width="6" style="5" hidden="1"/>
    <col min="7434" max="7434" width="4.140625" style="5" hidden="1"/>
    <col min="7435" max="7435" width="2.85546875" style="5" hidden="1"/>
    <col min="7436" max="7436" width="6.7109375" style="5" hidden="1"/>
    <col min="7437" max="7437" width="2.5703125" style="5" hidden="1"/>
    <col min="7438" max="7438" width="1.42578125" style="5" hidden="1"/>
    <col min="7439" max="7439" width="4.85546875" style="5" hidden="1"/>
    <col min="7440" max="7440" width="4.28515625" style="5" hidden="1"/>
    <col min="7441" max="7441" width="10.5703125" style="5" hidden="1"/>
    <col min="7442" max="7442" width="2.28515625" style="5" hidden="1"/>
    <col min="7443" max="7443" width="6.7109375" style="5" hidden="1"/>
    <col min="7444" max="7444" width="13" style="5" hidden="1"/>
    <col min="7445" max="7445" width="3.42578125" style="5" hidden="1"/>
    <col min="7446" max="7446" width="4.140625" style="5" hidden="1"/>
    <col min="7447" max="7447" width="11.7109375" style="5" hidden="1"/>
    <col min="7448" max="7680" width="9.140625" style="5" hidden="1"/>
    <col min="7681" max="7681" width="11" style="5" hidden="1"/>
    <col min="7682" max="7682" width="4.7109375" style="5" hidden="1"/>
    <col min="7683" max="7683" width="7.7109375" style="5" hidden="1"/>
    <col min="7684" max="7684" width="7.5703125" style="5" hidden="1"/>
    <col min="7685" max="7685" width="4.7109375" style="5" hidden="1"/>
    <col min="7686" max="7686" width="3.7109375" style="5" hidden="1"/>
    <col min="7687" max="7687" width="4.28515625" style="5" hidden="1"/>
    <col min="7688" max="7688" width="30.28515625" style="5" hidden="1"/>
    <col min="7689" max="7689" width="6" style="5" hidden="1"/>
    <col min="7690" max="7690" width="4.140625" style="5" hidden="1"/>
    <col min="7691" max="7691" width="2.85546875" style="5" hidden="1"/>
    <col min="7692" max="7692" width="6.7109375" style="5" hidden="1"/>
    <col min="7693" max="7693" width="2.5703125" style="5" hidden="1"/>
    <col min="7694" max="7694" width="1.42578125" style="5" hidden="1"/>
    <col min="7695" max="7695" width="4.85546875" style="5" hidden="1"/>
    <col min="7696" max="7696" width="4.28515625" style="5" hidden="1"/>
    <col min="7697" max="7697" width="10.5703125" style="5" hidden="1"/>
    <col min="7698" max="7698" width="2.28515625" style="5" hidden="1"/>
    <col min="7699" max="7699" width="6.7109375" style="5" hidden="1"/>
    <col min="7700" max="7700" width="13" style="5" hidden="1"/>
    <col min="7701" max="7701" width="3.42578125" style="5" hidden="1"/>
    <col min="7702" max="7702" width="4.140625" style="5" hidden="1"/>
    <col min="7703" max="7703" width="11.7109375" style="5" hidden="1"/>
    <col min="7704" max="7936" width="9.140625" style="5" hidden="1"/>
    <col min="7937" max="7937" width="11" style="5" hidden="1"/>
    <col min="7938" max="7938" width="4.7109375" style="5" hidden="1"/>
    <col min="7939" max="7939" width="7.7109375" style="5" hidden="1"/>
    <col min="7940" max="7940" width="7.5703125" style="5" hidden="1"/>
    <col min="7941" max="7941" width="4.7109375" style="5" hidden="1"/>
    <col min="7942" max="7942" width="3.7109375" style="5" hidden="1"/>
    <col min="7943" max="7943" width="4.28515625" style="5" hidden="1"/>
    <col min="7944" max="7944" width="30.28515625" style="5" hidden="1"/>
    <col min="7945" max="7945" width="6" style="5" hidden="1"/>
    <col min="7946" max="7946" width="4.140625" style="5" hidden="1"/>
    <col min="7947" max="7947" width="2.85546875" style="5" hidden="1"/>
    <col min="7948" max="7948" width="6.7109375" style="5" hidden="1"/>
    <col min="7949" max="7949" width="2.5703125" style="5" hidden="1"/>
    <col min="7950" max="7950" width="1.42578125" style="5" hidden="1"/>
    <col min="7951" max="7951" width="4.85546875" style="5" hidden="1"/>
    <col min="7952" max="7952" width="4.28515625" style="5" hidden="1"/>
    <col min="7953" max="7953" width="10.5703125" style="5" hidden="1"/>
    <col min="7954" max="7954" width="2.28515625" style="5" hidden="1"/>
    <col min="7955" max="7955" width="6.7109375" style="5" hidden="1"/>
    <col min="7956" max="7956" width="13" style="5" hidden="1"/>
    <col min="7957" max="7957" width="3.42578125" style="5" hidden="1"/>
    <col min="7958" max="7958" width="4.140625" style="5" hidden="1"/>
    <col min="7959" max="7959" width="11.7109375" style="5" hidden="1"/>
    <col min="7960" max="8192" width="9.140625" style="5" hidden="1"/>
    <col min="8193" max="8193" width="11" style="5" hidden="1"/>
    <col min="8194" max="8194" width="4.7109375" style="5" hidden="1"/>
    <col min="8195" max="8195" width="7.7109375" style="5" hidden="1"/>
    <col min="8196" max="8196" width="7.5703125" style="5" hidden="1"/>
    <col min="8197" max="8197" width="4.7109375" style="5" hidden="1"/>
    <col min="8198" max="8198" width="3.7109375" style="5" hidden="1"/>
    <col min="8199" max="8199" width="4.28515625" style="5" hidden="1"/>
    <col min="8200" max="8200" width="30.28515625" style="5" hidden="1"/>
    <col min="8201" max="8201" width="6" style="5" hidden="1"/>
    <col min="8202" max="8202" width="4.140625" style="5" hidden="1"/>
    <col min="8203" max="8203" width="2.85546875" style="5" hidden="1"/>
    <col min="8204" max="8204" width="6.7109375" style="5" hidden="1"/>
    <col min="8205" max="8205" width="2.5703125" style="5" hidden="1"/>
    <col min="8206" max="8206" width="1.42578125" style="5" hidden="1"/>
    <col min="8207" max="8207" width="4.85546875" style="5" hidden="1"/>
    <col min="8208" max="8208" width="4.28515625" style="5" hidden="1"/>
    <col min="8209" max="8209" width="10.5703125" style="5" hidden="1"/>
    <col min="8210" max="8210" width="2.28515625" style="5" hidden="1"/>
    <col min="8211" max="8211" width="6.7109375" style="5" hidden="1"/>
    <col min="8212" max="8212" width="13" style="5" hidden="1"/>
    <col min="8213" max="8213" width="3.42578125" style="5" hidden="1"/>
    <col min="8214" max="8214" width="4.140625" style="5" hidden="1"/>
    <col min="8215" max="8215" width="11.7109375" style="5" hidden="1"/>
    <col min="8216" max="8448" width="9.140625" style="5" hidden="1"/>
    <col min="8449" max="8449" width="11" style="5" hidden="1"/>
    <col min="8450" max="8450" width="4.7109375" style="5" hidden="1"/>
    <col min="8451" max="8451" width="7.7109375" style="5" hidden="1"/>
    <col min="8452" max="8452" width="7.5703125" style="5" hidden="1"/>
    <col min="8453" max="8453" width="4.7109375" style="5" hidden="1"/>
    <col min="8454" max="8454" width="3.7109375" style="5" hidden="1"/>
    <col min="8455" max="8455" width="4.28515625" style="5" hidden="1"/>
    <col min="8456" max="8456" width="30.28515625" style="5" hidden="1"/>
    <col min="8457" max="8457" width="6" style="5" hidden="1"/>
    <col min="8458" max="8458" width="4.140625" style="5" hidden="1"/>
    <col min="8459" max="8459" width="2.85546875" style="5" hidden="1"/>
    <col min="8460" max="8460" width="6.7109375" style="5" hidden="1"/>
    <col min="8461" max="8461" width="2.5703125" style="5" hidden="1"/>
    <col min="8462" max="8462" width="1.42578125" style="5" hidden="1"/>
    <col min="8463" max="8463" width="4.85546875" style="5" hidden="1"/>
    <col min="8464" max="8464" width="4.28515625" style="5" hidden="1"/>
    <col min="8465" max="8465" width="10.5703125" style="5" hidden="1"/>
    <col min="8466" max="8466" width="2.28515625" style="5" hidden="1"/>
    <col min="8467" max="8467" width="6.7109375" style="5" hidden="1"/>
    <col min="8468" max="8468" width="13" style="5" hidden="1"/>
    <col min="8469" max="8469" width="3.42578125" style="5" hidden="1"/>
    <col min="8470" max="8470" width="4.140625" style="5" hidden="1"/>
    <col min="8471" max="8471" width="11.7109375" style="5" hidden="1"/>
    <col min="8472" max="8704" width="9.140625" style="5" hidden="1"/>
    <col min="8705" max="8705" width="11" style="5" hidden="1"/>
    <col min="8706" max="8706" width="4.7109375" style="5" hidden="1"/>
    <col min="8707" max="8707" width="7.7109375" style="5" hidden="1"/>
    <col min="8708" max="8708" width="7.5703125" style="5" hidden="1"/>
    <col min="8709" max="8709" width="4.7109375" style="5" hidden="1"/>
    <col min="8710" max="8710" width="3.7109375" style="5" hidden="1"/>
    <col min="8711" max="8711" width="4.28515625" style="5" hidden="1"/>
    <col min="8712" max="8712" width="30.28515625" style="5" hidden="1"/>
    <col min="8713" max="8713" width="6" style="5" hidden="1"/>
    <col min="8714" max="8714" width="4.140625" style="5" hidden="1"/>
    <col min="8715" max="8715" width="2.85546875" style="5" hidden="1"/>
    <col min="8716" max="8716" width="6.7109375" style="5" hidden="1"/>
    <col min="8717" max="8717" width="2.5703125" style="5" hidden="1"/>
    <col min="8718" max="8718" width="1.42578125" style="5" hidden="1"/>
    <col min="8719" max="8719" width="4.85546875" style="5" hidden="1"/>
    <col min="8720" max="8720" width="4.28515625" style="5" hidden="1"/>
    <col min="8721" max="8721" width="10.5703125" style="5" hidden="1"/>
    <col min="8722" max="8722" width="2.28515625" style="5" hidden="1"/>
    <col min="8723" max="8723" width="6.7109375" style="5" hidden="1"/>
    <col min="8724" max="8724" width="13" style="5" hidden="1"/>
    <col min="8725" max="8725" width="3.42578125" style="5" hidden="1"/>
    <col min="8726" max="8726" width="4.140625" style="5" hidden="1"/>
    <col min="8727" max="8727" width="11.7109375" style="5" hidden="1"/>
    <col min="8728" max="8960" width="9.140625" style="5" hidden="1"/>
    <col min="8961" max="8961" width="11" style="5" hidden="1"/>
    <col min="8962" max="8962" width="4.7109375" style="5" hidden="1"/>
    <col min="8963" max="8963" width="7.7109375" style="5" hidden="1"/>
    <col min="8964" max="8964" width="7.5703125" style="5" hidden="1"/>
    <col min="8965" max="8965" width="4.7109375" style="5" hidden="1"/>
    <col min="8966" max="8966" width="3.7109375" style="5" hidden="1"/>
    <col min="8967" max="8967" width="4.28515625" style="5" hidden="1"/>
    <col min="8968" max="8968" width="30.28515625" style="5" hidden="1"/>
    <col min="8969" max="8969" width="6" style="5" hidden="1"/>
    <col min="8970" max="8970" width="4.140625" style="5" hidden="1"/>
    <col min="8971" max="8971" width="2.85546875" style="5" hidden="1"/>
    <col min="8972" max="8972" width="6.7109375" style="5" hidden="1"/>
    <col min="8973" max="8973" width="2.5703125" style="5" hidden="1"/>
    <col min="8974" max="8974" width="1.42578125" style="5" hidden="1"/>
    <col min="8975" max="8975" width="4.85546875" style="5" hidden="1"/>
    <col min="8976" max="8976" width="4.28515625" style="5" hidden="1"/>
    <col min="8977" max="8977" width="10.5703125" style="5" hidden="1"/>
    <col min="8978" max="8978" width="2.28515625" style="5" hidden="1"/>
    <col min="8979" max="8979" width="6.7109375" style="5" hidden="1"/>
    <col min="8980" max="8980" width="13" style="5" hidden="1"/>
    <col min="8981" max="8981" width="3.42578125" style="5" hidden="1"/>
    <col min="8982" max="8982" width="4.140625" style="5" hidden="1"/>
    <col min="8983" max="8983" width="11.7109375" style="5" hidden="1"/>
    <col min="8984" max="9216" width="9.140625" style="5" hidden="1"/>
    <col min="9217" max="9217" width="11" style="5" hidden="1"/>
    <col min="9218" max="9218" width="4.7109375" style="5" hidden="1"/>
    <col min="9219" max="9219" width="7.7109375" style="5" hidden="1"/>
    <col min="9220" max="9220" width="7.5703125" style="5" hidden="1"/>
    <col min="9221" max="9221" width="4.7109375" style="5" hidden="1"/>
    <col min="9222" max="9222" width="3.7109375" style="5" hidden="1"/>
    <col min="9223" max="9223" width="4.28515625" style="5" hidden="1"/>
    <col min="9224" max="9224" width="30.28515625" style="5" hidden="1"/>
    <col min="9225" max="9225" width="6" style="5" hidden="1"/>
    <col min="9226" max="9226" width="4.140625" style="5" hidden="1"/>
    <col min="9227" max="9227" width="2.85546875" style="5" hidden="1"/>
    <col min="9228" max="9228" width="6.7109375" style="5" hidden="1"/>
    <col min="9229" max="9229" width="2.5703125" style="5" hidden="1"/>
    <col min="9230" max="9230" width="1.42578125" style="5" hidden="1"/>
    <col min="9231" max="9231" width="4.85546875" style="5" hidden="1"/>
    <col min="9232" max="9232" width="4.28515625" style="5" hidden="1"/>
    <col min="9233" max="9233" width="10.5703125" style="5" hidden="1"/>
    <col min="9234" max="9234" width="2.28515625" style="5" hidden="1"/>
    <col min="9235" max="9235" width="6.7109375" style="5" hidden="1"/>
    <col min="9236" max="9236" width="13" style="5" hidden="1"/>
    <col min="9237" max="9237" width="3.42578125" style="5" hidden="1"/>
    <col min="9238" max="9238" width="4.140625" style="5" hidden="1"/>
    <col min="9239" max="9239" width="11.7109375" style="5" hidden="1"/>
    <col min="9240" max="9472" width="9.140625" style="5" hidden="1"/>
    <col min="9473" max="9473" width="11" style="5" hidden="1"/>
    <col min="9474" max="9474" width="4.7109375" style="5" hidden="1"/>
    <col min="9475" max="9475" width="7.7109375" style="5" hidden="1"/>
    <col min="9476" max="9476" width="7.5703125" style="5" hidden="1"/>
    <col min="9477" max="9477" width="4.7109375" style="5" hidden="1"/>
    <col min="9478" max="9478" width="3.7109375" style="5" hidden="1"/>
    <col min="9479" max="9479" width="4.28515625" style="5" hidden="1"/>
    <col min="9480" max="9480" width="30.28515625" style="5" hidden="1"/>
    <col min="9481" max="9481" width="6" style="5" hidden="1"/>
    <col min="9482" max="9482" width="4.140625" style="5" hidden="1"/>
    <col min="9483" max="9483" width="2.85546875" style="5" hidden="1"/>
    <col min="9484" max="9484" width="6.7109375" style="5" hidden="1"/>
    <col min="9485" max="9485" width="2.5703125" style="5" hidden="1"/>
    <col min="9486" max="9486" width="1.42578125" style="5" hidden="1"/>
    <col min="9487" max="9487" width="4.85546875" style="5" hidden="1"/>
    <col min="9488" max="9488" width="4.28515625" style="5" hidden="1"/>
    <col min="9489" max="9489" width="10.5703125" style="5" hidden="1"/>
    <col min="9490" max="9490" width="2.28515625" style="5" hidden="1"/>
    <col min="9491" max="9491" width="6.7109375" style="5" hidden="1"/>
    <col min="9492" max="9492" width="13" style="5" hidden="1"/>
    <col min="9493" max="9493" width="3.42578125" style="5" hidden="1"/>
    <col min="9494" max="9494" width="4.140625" style="5" hidden="1"/>
    <col min="9495" max="9495" width="11.7109375" style="5" hidden="1"/>
    <col min="9496" max="9728" width="9.140625" style="5" hidden="1"/>
    <col min="9729" max="9729" width="11" style="5" hidden="1"/>
    <col min="9730" max="9730" width="4.7109375" style="5" hidden="1"/>
    <col min="9731" max="9731" width="7.7109375" style="5" hidden="1"/>
    <col min="9732" max="9732" width="7.5703125" style="5" hidden="1"/>
    <col min="9733" max="9733" width="4.7109375" style="5" hidden="1"/>
    <col min="9734" max="9734" width="3.7109375" style="5" hidden="1"/>
    <col min="9735" max="9735" width="4.28515625" style="5" hidden="1"/>
    <col min="9736" max="9736" width="30.28515625" style="5" hidden="1"/>
    <col min="9737" max="9737" width="6" style="5" hidden="1"/>
    <col min="9738" max="9738" width="4.140625" style="5" hidden="1"/>
    <col min="9739" max="9739" width="2.85546875" style="5" hidden="1"/>
    <col min="9740" max="9740" width="6.7109375" style="5" hidden="1"/>
    <col min="9741" max="9741" width="2.5703125" style="5" hidden="1"/>
    <col min="9742" max="9742" width="1.42578125" style="5" hidden="1"/>
    <col min="9743" max="9743" width="4.85546875" style="5" hidden="1"/>
    <col min="9744" max="9744" width="4.28515625" style="5" hidden="1"/>
    <col min="9745" max="9745" width="10.5703125" style="5" hidden="1"/>
    <col min="9746" max="9746" width="2.28515625" style="5" hidden="1"/>
    <col min="9747" max="9747" width="6.7109375" style="5" hidden="1"/>
    <col min="9748" max="9748" width="13" style="5" hidden="1"/>
    <col min="9749" max="9749" width="3.42578125" style="5" hidden="1"/>
    <col min="9750" max="9750" width="4.140625" style="5" hidden="1"/>
    <col min="9751" max="9751" width="11.7109375" style="5" hidden="1"/>
    <col min="9752" max="9984" width="9.140625" style="5" hidden="1"/>
    <col min="9985" max="9985" width="11" style="5" hidden="1"/>
    <col min="9986" max="9986" width="4.7109375" style="5" hidden="1"/>
    <col min="9987" max="9987" width="7.7109375" style="5" hidden="1"/>
    <col min="9988" max="9988" width="7.5703125" style="5" hidden="1"/>
    <col min="9989" max="9989" width="4.7109375" style="5" hidden="1"/>
    <col min="9990" max="9990" width="3.7109375" style="5" hidden="1"/>
    <col min="9991" max="9991" width="4.28515625" style="5" hidden="1"/>
    <col min="9992" max="9992" width="30.28515625" style="5" hidden="1"/>
    <col min="9993" max="9993" width="6" style="5" hidden="1"/>
    <col min="9994" max="9994" width="4.140625" style="5" hidden="1"/>
    <col min="9995" max="9995" width="2.85546875" style="5" hidden="1"/>
    <col min="9996" max="9996" width="6.7109375" style="5" hidden="1"/>
    <col min="9997" max="9997" width="2.5703125" style="5" hidden="1"/>
    <col min="9998" max="9998" width="1.42578125" style="5" hidden="1"/>
    <col min="9999" max="9999" width="4.85546875" style="5" hidden="1"/>
    <col min="10000" max="10000" width="4.28515625" style="5" hidden="1"/>
    <col min="10001" max="10001" width="10.5703125" style="5" hidden="1"/>
    <col min="10002" max="10002" width="2.28515625" style="5" hidden="1"/>
    <col min="10003" max="10003" width="6.7109375" style="5" hidden="1"/>
    <col min="10004" max="10004" width="13" style="5" hidden="1"/>
    <col min="10005" max="10005" width="3.42578125" style="5" hidden="1"/>
    <col min="10006" max="10006" width="4.140625" style="5" hidden="1"/>
    <col min="10007" max="10007" width="11.7109375" style="5" hidden="1"/>
    <col min="10008" max="10240" width="9.140625" style="5" hidden="1"/>
    <col min="10241" max="10241" width="11" style="5" hidden="1"/>
    <col min="10242" max="10242" width="4.7109375" style="5" hidden="1"/>
    <col min="10243" max="10243" width="7.7109375" style="5" hidden="1"/>
    <col min="10244" max="10244" width="7.5703125" style="5" hidden="1"/>
    <col min="10245" max="10245" width="4.7109375" style="5" hidden="1"/>
    <col min="10246" max="10246" width="3.7109375" style="5" hidden="1"/>
    <col min="10247" max="10247" width="4.28515625" style="5" hidden="1"/>
    <col min="10248" max="10248" width="30.28515625" style="5" hidden="1"/>
    <col min="10249" max="10249" width="6" style="5" hidden="1"/>
    <col min="10250" max="10250" width="4.140625" style="5" hidden="1"/>
    <col min="10251" max="10251" width="2.85546875" style="5" hidden="1"/>
    <col min="10252" max="10252" width="6.7109375" style="5" hidden="1"/>
    <col min="10253" max="10253" width="2.5703125" style="5" hidden="1"/>
    <col min="10254" max="10254" width="1.42578125" style="5" hidden="1"/>
    <col min="10255" max="10255" width="4.85546875" style="5" hidden="1"/>
    <col min="10256" max="10256" width="4.28515625" style="5" hidden="1"/>
    <col min="10257" max="10257" width="10.5703125" style="5" hidden="1"/>
    <col min="10258" max="10258" width="2.28515625" style="5" hidden="1"/>
    <col min="10259" max="10259" width="6.7109375" style="5" hidden="1"/>
    <col min="10260" max="10260" width="13" style="5" hidden="1"/>
    <col min="10261" max="10261" width="3.42578125" style="5" hidden="1"/>
    <col min="10262" max="10262" width="4.140625" style="5" hidden="1"/>
    <col min="10263" max="10263" width="11.7109375" style="5" hidden="1"/>
    <col min="10264" max="10496" width="9.140625" style="5" hidden="1"/>
    <col min="10497" max="10497" width="11" style="5" hidden="1"/>
    <col min="10498" max="10498" width="4.7109375" style="5" hidden="1"/>
    <col min="10499" max="10499" width="7.7109375" style="5" hidden="1"/>
    <col min="10500" max="10500" width="7.5703125" style="5" hidden="1"/>
    <col min="10501" max="10501" width="4.7109375" style="5" hidden="1"/>
    <col min="10502" max="10502" width="3.7109375" style="5" hidden="1"/>
    <col min="10503" max="10503" width="4.28515625" style="5" hidden="1"/>
    <col min="10504" max="10504" width="30.28515625" style="5" hidden="1"/>
    <col min="10505" max="10505" width="6" style="5" hidden="1"/>
    <col min="10506" max="10506" width="4.140625" style="5" hidden="1"/>
    <col min="10507" max="10507" width="2.85546875" style="5" hidden="1"/>
    <col min="10508" max="10508" width="6.7109375" style="5" hidden="1"/>
    <col min="10509" max="10509" width="2.5703125" style="5" hidden="1"/>
    <col min="10510" max="10510" width="1.42578125" style="5" hidden="1"/>
    <col min="10511" max="10511" width="4.85546875" style="5" hidden="1"/>
    <col min="10512" max="10512" width="4.28515625" style="5" hidden="1"/>
    <col min="10513" max="10513" width="10.5703125" style="5" hidden="1"/>
    <col min="10514" max="10514" width="2.28515625" style="5" hidden="1"/>
    <col min="10515" max="10515" width="6.7109375" style="5" hidden="1"/>
    <col min="10516" max="10516" width="13" style="5" hidden="1"/>
    <col min="10517" max="10517" width="3.42578125" style="5" hidden="1"/>
    <col min="10518" max="10518" width="4.140625" style="5" hidden="1"/>
    <col min="10519" max="10519" width="11.7109375" style="5" hidden="1"/>
    <col min="10520" max="10752" width="9.140625" style="5" hidden="1"/>
    <col min="10753" max="10753" width="11" style="5" hidden="1"/>
    <col min="10754" max="10754" width="4.7109375" style="5" hidden="1"/>
    <col min="10755" max="10755" width="7.7109375" style="5" hidden="1"/>
    <col min="10756" max="10756" width="7.5703125" style="5" hidden="1"/>
    <col min="10757" max="10757" width="4.7109375" style="5" hidden="1"/>
    <col min="10758" max="10758" width="3.7109375" style="5" hidden="1"/>
    <col min="10759" max="10759" width="4.28515625" style="5" hidden="1"/>
    <col min="10760" max="10760" width="30.28515625" style="5" hidden="1"/>
    <col min="10761" max="10761" width="6" style="5" hidden="1"/>
    <col min="10762" max="10762" width="4.140625" style="5" hidden="1"/>
    <col min="10763" max="10763" width="2.85546875" style="5" hidden="1"/>
    <col min="10764" max="10764" width="6.7109375" style="5" hidden="1"/>
    <col min="10765" max="10765" width="2.5703125" style="5" hidden="1"/>
    <col min="10766" max="10766" width="1.42578125" style="5" hidden="1"/>
    <col min="10767" max="10767" width="4.85546875" style="5" hidden="1"/>
    <col min="10768" max="10768" width="4.28515625" style="5" hidden="1"/>
    <col min="10769" max="10769" width="10.5703125" style="5" hidden="1"/>
    <col min="10770" max="10770" width="2.28515625" style="5" hidden="1"/>
    <col min="10771" max="10771" width="6.7109375" style="5" hidden="1"/>
    <col min="10772" max="10772" width="13" style="5" hidden="1"/>
    <col min="10773" max="10773" width="3.42578125" style="5" hidden="1"/>
    <col min="10774" max="10774" width="4.140625" style="5" hidden="1"/>
    <col min="10775" max="10775" width="11.7109375" style="5" hidden="1"/>
    <col min="10776" max="11008" width="9.140625" style="5" hidden="1"/>
    <col min="11009" max="11009" width="11" style="5" hidden="1"/>
    <col min="11010" max="11010" width="4.7109375" style="5" hidden="1"/>
    <col min="11011" max="11011" width="7.7109375" style="5" hidden="1"/>
    <col min="11012" max="11012" width="7.5703125" style="5" hidden="1"/>
    <col min="11013" max="11013" width="4.7109375" style="5" hidden="1"/>
    <col min="11014" max="11014" width="3.7109375" style="5" hidden="1"/>
    <col min="11015" max="11015" width="4.28515625" style="5" hidden="1"/>
    <col min="11016" max="11016" width="30.28515625" style="5" hidden="1"/>
    <col min="11017" max="11017" width="6" style="5" hidden="1"/>
    <col min="11018" max="11018" width="4.140625" style="5" hidden="1"/>
    <col min="11019" max="11019" width="2.85546875" style="5" hidden="1"/>
    <col min="11020" max="11020" width="6.7109375" style="5" hidden="1"/>
    <col min="11021" max="11021" width="2.5703125" style="5" hidden="1"/>
    <col min="11022" max="11022" width="1.42578125" style="5" hidden="1"/>
    <col min="11023" max="11023" width="4.85546875" style="5" hidden="1"/>
    <col min="11024" max="11024" width="4.28515625" style="5" hidden="1"/>
    <col min="11025" max="11025" width="10.5703125" style="5" hidden="1"/>
    <col min="11026" max="11026" width="2.28515625" style="5" hidden="1"/>
    <col min="11027" max="11027" width="6.7109375" style="5" hidden="1"/>
    <col min="11028" max="11028" width="13" style="5" hidden="1"/>
    <col min="11029" max="11029" width="3.42578125" style="5" hidden="1"/>
    <col min="11030" max="11030" width="4.140625" style="5" hidden="1"/>
    <col min="11031" max="11031" width="11.7109375" style="5" hidden="1"/>
    <col min="11032" max="11264" width="9.140625" style="5" hidden="1"/>
    <col min="11265" max="11265" width="11" style="5" hidden="1"/>
    <col min="11266" max="11266" width="4.7109375" style="5" hidden="1"/>
    <col min="11267" max="11267" width="7.7109375" style="5" hidden="1"/>
    <col min="11268" max="11268" width="7.5703125" style="5" hidden="1"/>
    <col min="11269" max="11269" width="4.7109375" style="5" hidden="1"/>
    <col min="11270" max="11270" width="3.7109375" style="5" hidden="1"/>
    <col min="11271" max="11271" width="4.28515625" style="5" hidden="1"/>
    <col min="11272" max="11272" width="30.28515625" style="5" hidden="1"/>
    <col min="11273" max="11273" width="6" style="5" hidden="1"/>
    <col min="11274" max="11274" width="4.140625" style="5" hidden="1"/>
    <col min="11275" max="11275" width="2.85546875" style="5" hidden="1"/>
    <col min="11276" max="11276" width="6.7109375" style="5" hidden="1"/>
    <col min="11277" max="11277" width="2.5703125" style="5" hidden="1"/>
    <col min="11278" max="11278" width="1.42578125" style="5" hidden="1"/>
    <col min="11279" max="11279" width="4.85546875" style="5" hidden="1"/>
    <col min="11280" max="11280" width="4.28515625" style="5" hidden="1"/>
    <col min="11281" max="11281" width="10.5703125" style="5" hidden="1"/>
    <col min="11282" max="11282" width="2.28515625" style="5" hidden="1"/>
    <col min="11283" max="11283" width="6.7109375" style="5" hidden="1"/>
    <col min="11284" max="11284" width="13" style="5" hidden="1"/>
    <col min="11285" max="11285" width="3.42578125" style="5" hidden="1"/>
    <col min="11286" max="11286" width="4.140625" style="5" hidden="1"/>
    <col min="11287" max="11287" width="11.7109375" style="5" hidden="1"/>
    <col min="11288" max="11520" width="9.140625" style="5" hidden="1"/>
    <col min="11521" max="11521" width="11" style="5" hidden="1"/>
    <col min="11522" max="11522" width="4.7109375" style="5" hidden="1"/>
    <col min="11523" max="11523" width="7.7109375" style="5" hidden="1"/>
    <col min="11524" max="11524" width="7.5703125" style="5" hidden="1"/>
    <col min="11525" max="11525" width="4.7109375" style="5" hidden="1"/>
    <col min="11526" max="11526" width="3.7109375" style="5" hidden="1"/>
    <col min="11527" max="11527" width="4.28515625" style="5" hidden="1"/>
    <col min="11528" max="11528" width="30.28515625" style="5" hidden="1"/>
    <col min="11529" max="11529" width="6" style="5" hidden="1"/>
    <col min="11530" max="11530" width="4.140625" style="5" hidden="1"/>
    <col min="11531" max="11531" width="2.85546875" style="5" hidden="1"/>
    <col min="11532" max="11532" width="6.7109375" style="5" hidden="1"/>
    <col min="11533" max="11533" width="2.5703125" style="5" hidden="1"/>
    <col min="11534" max="11534" width="1.42578125" style="5" hidden="1"/>
    <col min="11535" max="11535" width="4.85546875" style="5" hidden="1"/>
    <col min="11536" max="11536" width="4.28515625" style="5" hidden="1"/>
    <col min="11537" max="11537" width="10.5703125" style="5" hidden="1"/>
    <col min="11538" max="11538" width="2.28515625" style="5" hidden="1"/>
    <col min="11539" max="11539" width="6.7109375" style="5" hidden="1"/>
    <col min="11540" max="11540" width="13" style="5" hidden="1"/>
    <col min="11541" max="11541" width="3.42578125" style="5" hidden="1"/>
    <col min="11542" max="11542" width="4.140625" style="5" hidden="1"/>
    <col min="11543" max="11543" width="11.7109375" style="5" hidden="1"/>
    <col min="11544" max="11776" width="9.140625" style="5" hidden="1"/>
    <col min="11777" max="11777" width="11" style="5" hidden="1"/>
    <col min="11778" max="11778" width="4.7109375" style="5" hidden="1"/>
    <col min="11779" max="11779" width="7.7109375" style="5" hidden="1"/>
    <col min="11780" max="11780" width="7.5703125" style="5" hidden="1"/>
    <col min="11781" max="11781" width="4.7109375" style="5" hidden="1"/>
    <col min="11782" max="11782" width="3.7109375" style="5" hidden="1"/>
    <col min="11783" max="11783" width="4.28515625" style="5" hidden="1"/>
    <col min="11784" max="11784" width="30.28515625" style="5" hidden="1"/>
    <col min="11785" max="11785" width="6" style="5" hidden="1"/>
    <col min="11786" max="11786" width="4.140625" style="5" hidden="1"/>
    <col min="11787" max="11787" width="2.85546875" style="5" hidden="1"/>
    <col min="11788" max="11788" width="6.7109375" style="5" hidden="1"/>
    <col min="11789" max="11789" width="2.5703125" style="5" hidden="1"/>
    <col min="11790" max="11790" width="1.42578125" style="5" hidden="1"/>
    <col min="11791" max="11791" width="4.85546875" style="5" hidden="1"/>
    <col min="11792" max="11792" width="4.28515625" style="5" hidden="1"/>
    <col min="11793" max="11793" width="10.5703125" style="5" hidden="1"/>
    <col min="11794" max="11794" width="2.28515625" style="5" hidden="1"/>
    <col min="11795" max="11795" width="6.7109375" style="5" hidden="1"/>
    <col min="11796" max="11796" width="13" style="5" hidden="1"/>
    <col min="11797" max="11797" width="3.42578125" style="5" hidden="1"/>
    <col min="11798" max="11798" width="4.140625" style="5" hidden="1"/>
    <col min="11799" max="11799" width="11.7109375" style="5" hidden="1"/>
    <col min="11800" max="12032" width="9.140625" style="5" hidden="1"/>
    <col min="12033" max="12033" width="11" style="5" hidden="1"/>
    <col min="12034" max="12034" width="4.7109375" style="5" hidden="1"/>
    <col min="12035" max="12035" width="7.7109375" style="5" hidden="1"/>
    <col min="12036" max="12036" width="7.5703125" style="5" hidden="1"/>
    <col min="12037" max="12037" width="4.7109375" style="5" hidden="1"/>
    <col min="12038" max="12038" width="3.7109375" style="5" hidden="1"/>
    <col min="12039" max="12039" width="4.28515625" style="5" hidden="1"/>
    <col min="12040" max="12040" width="30.28515625" style="5" hidden="1"/>
    <col min="12041" max="12041" width="6" style="5" hidden="1"/>
    <col min="12042" max="12042" width="4.140625" style="5" hidden="1"/>
    <col min="12043" max="12043" width="2.85546875" style="5" hidden="1"/>
    <col min="12044" max="12044" width="6.7109375" style="5" hidden="1"/>
    <col min="12045" max="12045" width="2.5703125" style="5" hidden="1"/>
    <col min="12046" max="12046" width="1.42578125" style="5" hidden="1"/>
    <col min="12047" max="12047" width="4.85546875" style="5" hidden="1"/>
    <col min="12048" max="12048" width="4.28515625" style="5" hidden="1"/>
    <col min="12049" max="12049" width="10.5703125" style="5" hidden="1"/>
    <col min="12050" max="12050" width="2.28515625" style="5" hidden="1"/>
    <col min="12051" max="12051" width="6.7109375" style="5" hidden="1"/>
    <col min="12052" max="12052" width="13" style="5" hidden="1"/>
    <col min="12053" max="12053" width="3.42578125" style="5" hidden="1"/>
    <col min="12054" max="12054" width="4.140625" style="5" hidden="1"/>
    <col min="12055" max="12055" width="11.7109375" style="5" hidden="1"/>
    <col min="12056" max="12288" width="9.140625" style="5" hidden="1"/>
    <col min="12289" max="12289" width="11" style="5" hidden="1"/>
    <col min="12290" max="12290" width="4.7109375" style="5" hidden="1"/>
    <col min="12291" max="12291" width="7.7109375" style="5" hidden="1"/>
    <col min="12292" max="12292" width="7.5703125" style="5" hidden="1"/>
    <col min="12293" max="12293" width="4.7109375" style="5" hidden="1"/>
    <col min="12294" max="12294" width="3.7109375" style="5" hidden="1"/>
    <col min="12295" max="12295" width="4.28515625" style="5" hidden="1"/>
    <col min="12296" max="12296" width="30.28515625" style="5" hidden="1"/>
    <col min="12297" max="12297" width="6" style="5" hidden="1"/>
    <col min="12298" max="12298" width="4.140625" style="5" hidden="1"/>
    <col min="12299" max="12299" width="2.85546875" style="5" hidden="1"/>
    <col min="12300" max="12300" width="6.7109375" style="5" hidden="1"/>
    <col min="12301" max="12301" width="2.5703125" style="5" hidden="1"/>
    <col min="12302" max="12302" width="1.42578125" style="5" hidden="1"/>
    <col min="12303" max="12303" width="4.85546875" style="5" hidden="1"/>
    <col min="12304" max="12304" width="4.28515625" style="5" hidden="1"/>
    <col min="12305" max="12305" width="10.5703125" style="5" hidden="1"/>
    <col min="12306" max="12306" width="2.28515625" style="5" hidden="1"/>
    <col min="12307" max="12307" width="6.7109375" style="5" hidden="1"/>
    <col min="12308" max="12308" width="13" style="5" hidden="1"/>
    <col min="12309" max="12309" width="3.42578125" style="5" hidden="1"/>
    <col min="12310" max="12310" width="4.140625" style="5" hidden="1"/>
    <col min="12311" max="12311" width="11.7109375" style="5" hidden="1"/>
    <col min="12312" max="12544" width="9.140625" style="5" hidden="1"/>
    <col min="12545" max="12545" width="11" style="5" hidden="1"/>
    <col min="12546" max="12546" width="4.7109375" style="5" hidden="1"/>
    <col min="12547" max="12547" width="7.7109375" style="5" hidden="1"/>
    <col min="12548" max="12548" width="7.5703125" style="5" hidden="1"/>
    <col min="12549" max="12549" width="4.7109375" style="5" hidden="1"/>
    <col min="12550" max="12550" width="3.7109375" style="5" hidden="1"/>
    <col min="12551" max="12551" width="4.28515625" style="5" hidden="1"/>
    <col min="12552" max="12552" width="30.28515625" style="5" hidden="1"/>
    <col min="12553" max="12553" width="6" style="5" hidden="1"/>
    <col min="12554" max="12554" width="4.140625" style="5" hidden="1"/>
    <col min="12555" max="12555" width="2.85546875" style="5" hidden="1"/>
    <col min="12556" max="12556" width="6.7109375" style="5" hidden="1"/>
    <col min="12557" max="12557" width="2.5703125" style="5" hidden="1"/>
    <col min="12558" max="12558" width="1.42578125" style="5" hidden="1"/>
    <col min="12559" max="12559" width="4.85546875" style="5" hidden="1"/>
    <col min="12560" max="12560" width="4.28515625" style="5" hidden="1"/>
    <col min="12561" max="12561" width="10.5703125" style="5" hidden="1"/>
    <col min="12562" max="12562" width="2.28515625" style="5" hidden="1"/>
    <col min="12563" max="12563" width="6.7109375" style="5" hidden="1"/>
    <col min="12564" max="12564" width="13" style="5" hidden="1"/>
    <col min="12565" max="12565" width="3.42578125" style="5" hidden="1"/>
    <col min="12566" max="12566" width="4.140625" style="5" hidden="1"/>
    <col min="12567" max="12567" width="11.7109375" style="5" hidden="1"/>
    <col min="12568" max="12800" width="9.140625" style="5" hidden="1"/>
    <col min="12801" max="12801" width="11" style="5" hidden="1"/>
    <col min="12802" max="12802" width="4.7109375" style="5" hidden="1"/>
    <col min="12803" max="12803" width="7.7109375" style="5" hidden="1"/>
    <col min="12804" max="12804" width="7.5703125" style="5" hidden="1"/>
    <col min="12805" max="12805" width="4.7109375" style="5" hidden="1"/>
    <col min="12806" max="12806" width="3.7109375" style="5" hidden="1"/>
    <col min="12807" max="12807" width="4.28515625" style="5" hidden="1"/>
    <col min="12808" max="12808" width="30.28515625" style="5" hidden="1"/>
    <col min="12809" max="12809" width="6" style="5" hidden="1"/>
    <col min="12810" max="12810" width="4.140625" style="5" hidden="1"/>
    <col min="12811" max="12811" width="2.85546875" style="5" hidden="1"/>
    <col min="12812" max="12812" width="6.7109375" style="5" hidden="1"/>
    <col min="12813" max="12813" width="2.5703125" style="5" hidden="1"/>
    <col min="12814" max="12814" width="1.42578125" style="5" hidden="1"/>
    <col min="12815" max="12815" width="4.85546875" style="5" hidden="1"/>
    <col min="12816" max="12816" width="4.28515625" style="5" hidden="1"/>
    <col min="12817" max="12817" width="10.5703125" style="5" hidden="1"/>
    <col min="12818" max="12818" width="2.28515625" style="5" hidden="1"/>
    <col min="12819" max="12819" width="6.7109375" style="5" hidden="1"/>
    <col min="12820" max="12820" width="13" style="5" hidden="1"/>
    <col min="12821" max="12821" width="3.42578125" style="5" hidden="1"/>
    <col min="12822" max="12822" width="4.140625" style="5" hidden="1"/>
    <col min="12823" max="12823" width="11.7109375" style="5" hidden="1"/>
    <col min="12824" max="13056" width="9.140625" style="5" hidden="1"/>
    <col min="13057" max="13057" width="11" style="5" hidden="1"/>
    <col min="13058" max="13058" width="4.7109375" style="5" hidden="1"/>
    <col min="13059" max="13059" width="7.7109375" style="5" hidden="1"/>
    <col min="13060" max="13060" width="7.5703125" style="5" hidden="1"/>
    <col min="13061" max="13061" width="4.7109375" style="5" hidden="1"/>
    <col min="13062" max="13062" width="3.7109375" style="5" hidden="1"/>
    <col min="13063" max="13063" width="4.28515625" style="5" hidden="1"/>
    <col min="13064" max="13064" width="30.28515625" style="5" hidden="1"/>
    <col min="13065" max="13065" width="6" style="5" hidden="1"/>
    <col min="13066" max="13066" width="4.140625" style="5" hidden="1"/>
    <col min="13067" max="13067" width="2.85546875" style="5" hidden="1"/>
    <col min="13068" max="13068" width="6.7109375" style="5" hidden="1"/>
    <col min="13069" max="13069" width="2.5703125" style="5" hidden="1"/>
    <col min="13070" max="13070" width="1.42578125" style="5" hidden="1"/>
    <col min="13071" max="13071" width="4.85546875" style="5" hidden="1"/>
    <col min="13072" max="13072" width="4.28515625" style="5" hidden="1"/>
    <col min="13073" max="13073" width="10.5703125" style="5" hidden="1"/>
    <col min="13074" max="13074" width="2.28515625" style="5" hidden="1"/>
    <col min="13075" max="13075" width="6.7109375" style="5" hidden="1"/>
    <col min="13076" max="13076" width="13" style="5" hidden="1"/>
    <col min="13077" max="13077" width="3.42578125" style="5" hidden="1"/>
    <col min="13078" max="13078" width="4.140625" style="5" hidden="1"/>
    <col min="13079" max="13079" width="11.7109375" style="5" hidden="1"/>
    <col min="13080" max="13312" width="9.140625" style="5" hidden="1"/>
    <col min="13313" max="13313" width="11" style="5" hidden="1"/>
    <col min="13314" max="13314" width="4.7109375" style="5" hidden="1"/>
    <col min="13315" max="13315" width="7.7109375" style="5" hidden="1"/>
    <col min="13316" max="13316" width="7.5703125" style="5" hidden="1"/>
    <col min="13317" max="13317" width="4.7109375" style="5" hidden="1"/>
    <col min="13318" max="13318" width="3.7109375" style="5" hidden="1"/>
    <col min="13319" max="13319" width="4.28515625" style="5" hidden="1"/>
    <col min="13320" max="13320" width="30.28515625" style="5" hidden="1"/>
    <col min="13321" max="13321" width="6" style="5" hidden="1"/>
    <col min="13322" max="13322" width="4.140625" style="5" hidden="1"/>
    <col min="13323" max="13323" width="2.85546875" style="5" hidden="1"/>
    <col min="13324" max="13324" width="6.7109375" style="5" hidden="1"/>
    <col min="13325" max="13325" width="2.5703125" style="5" hidden="1"/>
    <col min="13326" max="13326" width="1.42578125" style="5" hidden="1"/>
    <col min="13327" max="13327" width="4.85546875" style="5" hidden="1"/>
    <col min="13328" max="13328" width="4.28515625" style="5" hidden="1"/>
    <col min="13329" max="13329" width="10.5703125" style="5" hidden="1"/>
    <col min="13330" max="13330" width="2.28515625" style="5" hidden="1"/>
    <col min="13331" max="13331" width="6.7109375" style="5" hidden="1"/>
    <col min="13332" max="13332" width="13" style="5" hidden="1"/>
    <col min="13333" max="13333" width="3.42578125" style="5" hidden="1"/>
    <col min="13334" max="13334" width="4.140625" style="5" hidden="1"/>
    <col min="13335" max="13335" width="11.7109375" style="5" hidden="1"/>
    <col min="13336" max="13568" width="9.140625" style="5" hidden="1"/>
    <col min="13569" max="13569" width="11" style="5" hidden="1"/>
    <col min="13570" max="13570" width="4.7109375" style="5" hidden="1"/>
    <col min="13571" max="13571" width="7.7109375" style="5" hidden="1"/>
    <col min="13572" max="13572" width="7.5703125" style="5" hidden="1"/>
    <col min="13573" max="13573" width="4.7109375" style="5" hidden="1"/>
    <col min="13574" max="13574" width="3.7109375" style="5" hidden="1"/>
    <col min="13575" max="13575" width="4.28515625" style="5" hidden="1"/>
    <col min="13576" max="13576" width="30.28515625" style="5" hidden="1"/>
    <col min="13577" max="13577" width="6" style="5" hidden="1"/>
    <col min="13578" max="13578" width="4.140625" style="5" hidden="1"/>
    <col min="13579" max="13579" width="2.85546875" style="5" hidden="1"/>
    <col min="13580" max="13580" width="6.7109375" style="5" hidden="1"/>
    <col min="13581" max="13581" width="2.5703125" style="5" hidden="1"/>
    <col min="13582" max="13582" width="1.42578125" style="5" hidden="1"/>
    <col min="13583" max="13583" width="4.85546875" style="5" hidden="1"/>
    <col min="13584" max="13584" width="4.28515625" style="5" hidden="1"/>
    <col min="13585" max="13585" width="10.5703125" style="5" hidden="1"/>
    <col min="13586" max="13586" width="2.28515625" style="5" hidden="1"/>
    <col min="13587" max="13587" width="6.7109375" style="5" hidden="1"/>
    <col min="13588" max="13588" width="13" style="5" hidden="1"/>
    <col min="13589" max="13589" width="3.42578125" style="5" hidden="1"/>
    <col min="13590" max="13590" width="4.140625" style="5" hidden="1"/>
    <col min="13591" max="13591" width="11.7109375" style="5" hidden="1"/>
    <col min="13592" max="13824" width="9.140625" style="5" hidden="1"/>
    <col min="13825" max="13825" width="11" style="5" hidden="1"/>
    <col min="13826" max="13826" width="4.7109375" style="5" hidden="1"/>
    <col min="13827" max="13827" width="7.7109375" style="5" hidden="1"/>
    <col min="13828" max="13828" width="7.5703125" style="5" hidden="1"/>
    <col min="13829" max="13829" width="4.7109375" style="5" hidden="1"/>
    <col min="13830" max="13830" width="3.7109375" style="5" hidden="1"/>
    <col min="13831" max="13831" width="4.28515625" style="5" hidden="1"/>
    <col min="13832" max="13832" width="30.28515625" style="5" hidden="1"/>
    <col min="13833" max="13833" width="6" style="5" hidden="1"/>
    <col min="13834" max="13834" width="4.140625" style="5" hidden="1"/>
    <col min="13835" max="13835" width="2.85546875" style="5" hidden="1"/>
    <col min="13836" max="13836" width="6.7109375" style="5" hidden="1"/>
    <col min="13837" max="13837" width="2.5703125" style="5" hidden="1"/>
    <col min="13838" max="13838" width="1.42578125" style="5" hidden="1"/>
    <col min="13839" max="13839" width="4.85546875" style="5" hidden="1"/>
    <col min="13840" max="13840" width="4.28515625" style="5" hidden="1"/>
    <col min="13841" max="13841" width="10.5703125" style="5" hidden="1"/>
    <col min="13842" max="13842" width="2.28515625" style="5" hidden="1"/>
    <col min="13843" max="13843" width="6.7109375" style="5" hidden="1"/>
    <col min="13844" max="13844" width="13" style="5" hidden="1"/>
    <col min="13845" max="13845" width="3.42578125" style="5" hidden="1"/>
    <col min="13846" max="13846" width="4.140625" style="5" hidden="1"/>
    <col min="13847" max="13847" width="11.7109375" style="5" hidden="1"/>
    <col min="13848" max="14080" width="9.140625" style="5" hidden="1"/>
    <col min="14081" max="14081" width="11" style="5" hidden="1"/>
    <col min="14082" max="14082" width="4.7109375" style="5" hidden="1"/>
    <col min="14083" max="14083" width="7.7109375" style="5" hidden="1"/>
    <col min="14084" max="14084" width="7.5703125" style="5" hidden="1"/>
    <col min="14085" max="14085" width="4.7109375" style="5" hidden="1"/>
    <col min="14086" max="14086" width="3.7109375" style="5" hidden="1"/>
    <col min="14087" max="14087" width="4.28515625" style="5" hidden="1"/>
    <col min="14088" max="14088" width="30.28515625" style="5" hidden="1"/>
    <col min="14089" max="14089" width="6" style="5" hidden="1"/>
    <col min="14090" max="14090" width="4.140625" style="5" hidden="1"/>
    <col min="14091" max="14091" width="2.85546875" style="5" hidden="1"/>
    <col min="14092" max="14092" width="6.7109375" style="5" hidden="1"/>
    <col min="14093" max="14093" width="2.5703125" style="5" hidden="1"/>
    <col min="14094" max="14094" width="1.42578125" style="5" hidden="1"/>
    <col min="14095" max="14095" width="4.85546875" style="5" hidden="1"/>
    <col min="14096" max="14096" width="4.28515625" style="5" hidden="1"/>
    <col min="14097" max="14097" width="10.5703125" style="5" hidden="1"/>
    <col min="14098" max="14098" width="2.28515625" style="5" hidden="1"/>
    <col min="14099" max="14099" width="6.7109375" style="5" hidden="1"/>
    <col min="14100" max="14100" width="13" style="5" hidden="1"/>
    <col min="14101" max="14101" width="3.42578125" style="5" hidden="1"/>
    <col min="14102" max="14102" width="4.140625" style="5" hidden="1"/>
    <col min="14103" max="14103" width="11.7109375" style="5" hidden="1"/>
    <col min="14104" max="14336" width="9.140625" style="5" hidden="1"/>
    <col min="14337" max="14337" width="11" style="5" hidden="1"/>
    <col min="14338" max="14338" width="4.7109375" style="5" hidden="1"/>
    <col min="14339" max="14339" width="7.7109375" style="5" hidden="1"/>
    <col min="14340" max="14340" width="7.5703125" style="5" hidden="1"/>
    <col min="14341" max="14341" width="4.7109375" style="5" hidden="1"/>
    <col min="14342" max="14342" width="3.7109375" style="5" hidden="1"/>
    <col min="14343" max="14343" width="4.28515625" style="5" hidden="1"/>
    <col min="14344" max="14344" width="30.28515625" style="5" hidden="1"/>
    <col min="14345" max="14345" width="6" style="5" hidden="1"/>
    <col min="14346" max="14346" width="4.140625" style="5" hidden="1"/>
    <col min="14347" max="14347" width="2.85546875" style="5" hidden="1"/>
    <col min="14348" max="14348" width="6.7109375" style="5" hidden="1"/>
    <col min="14349" max="14349" width="2.5703125" style="5" hidden="1"/>
    <col min="14350" max="14350" width="1.42578125" style="5" hidden="1"/>
    <col min="14351" max="14351" width="4.85546875" style="5" hidden="1"/>
    <col min="14352" max="14352" width="4.28515625" style="5" hidden="1"/>
    <col min="14353" max="14353" width="10.5703125" style="5" hidden="1"/>
    <col min="14354" max="14354" width="2.28515625" style="5" hidden="1"/>
    <col min="14355" max="14355" width="6.7109375" style="5" hidden="1"/>
    <col min="14356" max="14356" width="13" style="5" hidden="1"/>
    <col min="14357" max="14357" width="3.42578125" style="5" hidden="1"/>
    <col min="14358" max="14358" width="4.140625" style="5" hidden="1"/>
    <col min="14359" max="14359" width="11.7109375" style="5" hidden="1"/>
    <col min="14360" max="14592" width="9.140625" style="5" hidden="1"/>
    <col min="14593" max="14593" width="11" style="5" hidden="1"/>
    <col min="14594" max="14594" width="4.7109375" style="5" hidden="1"/>
    <col min="14595" max="14595" width="7.7109375" style="5" hidden="1"/>
    <col min="14596" max="14596" width="7.5703125" style="5" hidden="1"/>
    <col min="14597" max="14597" width="4.7109375" style="5" hidden="1"/>
    <col min="14598" max="14598" width="3.7109375" style="5" hidden="1"/>
    <col min="14599" max="14599" width="4.28515625" style="5" hidden="1"/>
    <col min="14600" max="14600" width="30.28515625" style="5" hidden="1"/>
    <col min="14601" max="14601" width="6" style="5" hidden="1"/>
    <col min="14602" max="14602" width="4.140625" style="5" hidden="1"/>
    <col min="14603" max="14603" width="2.85546875" style="5" hidden="1"/>
    <col min="14604" max="14604" width="6.7109375" style="5" hidden="1"/>
    <col min="14605" max="14605" width="2.5703125" style="5" hidden="1"/>
    <col min="14606" max="14606" width="1.42578125" style="5" hidden="1"/>
    <col min="14607" max="14607" width="4.85546875" style="5" hidden="1"/>
    <col min="14608" max="14608" width="4.28515625" style="5" hidden="1"/>
    <col min="14609" max="14609" width="10.5703125" style="5" hidden="1"/>
    <col min="14610" max="14610" width="2.28515625" style="5" hidden="1"/>
    <col min="14611" max="14611" width="6.7109375" style="5" hidden="1"/>
    <col min="14612" max="14612" width="13" style="5" hidden="1"/>
    <col min="14613" max="14613" width="3.42578125" style="5" hidden="1"/>
    <col min="14614" max="14614" width="4.140625" style="5" hidden="1"/>
    <col min="14615" max="14615" width="11.7109375" style="5" hidden="1"/>
    <col min="14616" max="14848" width="9.140625" style="5" hidden="1"/>
    <col min="14849" max="14849" width="11" style="5" hidden="1"/>
    <col min="14850" max="14850" width="4.7109375" style="5" hidden="1"/>
    <col min="14851" max="14851" width="7.7109375" style="5" hidden="1"/>
    <col min="14852" max="14852" width="7.5703125" style="5" hidden="1"/>
    <col min="14853" max="14853" width="4.7109375" style="5" hidden="1"/>
    <col min="14854" max="14854" width="3.7109375" style="5" hidden="1"/>
    <col min="14855" max="14855" width="4.28515625" style="5" hidden="1"/>
    <col min="14856" max="14856" width="30.28515625" style="5" hidden="1"/>
    <col min="14857" max="14857" width="6" style="5" hidden="1"/>
    <col min="14858" max="14858" width="4.140625" style="5" hidden="1"/>
    <col min="14859" max="14859" width="2.85546875" style="5" hidden="1"/>
    <col min="14860" max="14860" width="6.7109375" style="5" hidden="1"/>
    <col min="14861" max="14861" width="2.5703125" style="5" hidden="1"/>
    <col min="14862" max="14862" width="1.42578125" style="5" hidden="1"/>
    <col min="14863" max="14863" width="4.85546875" style="5" hidden="1"/>
    <col min="14864" max="14864" width="4.28515625" style="5" hidden="1"/>
    <col min="14865" max="14865" width="10.5703125" style="5" hidden="1"/>
    <col min="14866" max="14866" width="2.28515625" style="5" hidden="1"/>
    <col min="14867" max="14867" width="6.7109375" style="5" hidden="1"/>
    <col min="14868" max="14868" width="13" style="5" hidden="1"/>
    <col min="14869" max="14869" width="3.42578125" style="5" hidden="1"/>
    <col min="14870" max="14870" width="4.140625" style="5" hidden="1"/>
    <col min="14871" max="14871" width="11.7109375" style="5" hidden="1"/>
    <col min="14872" max="15104" width="9.140625" style="5" hidden="1"/>
    <col min="15105" max="15105" width="11" style="5" hidden="1"/>
    <col min="15106" max="15106" width="4.7109375" style="5" hidden="1"/>
    <col min="15107" max="15107" width="7.7109375" style="5" hidden="1"/>
    <col min="15108" max="15108" width="7.5703125" style="5" hidden="1"/>
    <col min="15109" max="15109" width="4.7109375" style="5" hidden="1"/>
    <col min="15110" max="15110" width="3.7109375" style="5" hidden="1"/>
    <col min="15111" max="15111" width="4.28515625" style="5" hidden="1"/>
    <col min="15112" max="15112" width="30.28515625" style="5" hidden="1"/>
    <col min="15113" max="15113" width="6" style="5" hidden="1"/>
    <col min="15114" max="15114" width="4.140625" style="5" hidden="1"/>
    <col min="15115" max="15115" width="2.85546875" style="5" hidden="1"/>
    <col min="15116" max="15116" width="6.7109375" style="5" hidden="1"/>
    <col min="15117" max="15117" width="2.5703125" style="5" hidden="1"/>
    <col min="15118" max="15118" width="1.42578125" style="5" hidden="1"/>
    <col min="15119" max="15119" width="4.85546875" style="5" hidden="1"/>
    <col min="15120" max="15120" width="4.28515625" style="5" hidden="1"/>
    <col min="15121" max="15121" width="10.5703125" style="5" hidden="1"/>
    <col min="15122" max="15122" width="2.28515625" style="5" hidden="1"/>
    <col min="15123" max="15123" width="6.7109375" style="5" hidden="1"/>
    <col min="15124" max="15124" width="13" style="5" hidden="1"/>
    <col min="15125" max="15125" width="3.42578125" style="5" hidden="1"/>
    <col min="15126" max="15126" width="4.140625" style="5" hidden="1"/>
    <col min="15127" max="15127" width="11.7109375" style="5" hidden="1"/>
    <col min="15128" max="15360" width="9.140625" style="5" hidden="1"/>
    <col min="15361" max="15361" width="11" style="5" hidden="1"/>
    <col min="15362" max="15362" width="4.7109375" style="5" hidden="1"/>
    <col min="15363" max="15363" width="7.7109375" style="5" hidden="1"/>
    <col min="15364" max="15364" width="7.5703125" style="5" hidden="1"/>
    <col min="15365" max="15365" width="4.7109375" style="5" hidden="1"/>
    <col min="15366" max="15366" width="3.7109375" style="5" hidden="1"/>
    <col min="15367" max="15367" width="4.28515625" style="5" hidden="1"/>
    <col min="15368" max="15368" width="30.28515625" style="5" hidden="1"/>
    <col min="15369" max="15369" width="6" style="5" hidden="1"/>
    <col min="15370" max="15370" width="4.140625" style="5" hidden="1"/>
    <col min="15371" max="15371" width="2.85546875" style="5" hidden="1"/>
    <col min="15372" max="15372" width="6.7109375" style="5" hidden="1"/>
    <col min="15373" max="15373" width="2.5703125" style="5" hidden="1"/>
    <col min="15374" max="15374" width="1.42578125" style="5" hidden="1"/>
    <col min="15375" max="15375" width="4.85546875" style="5" hidden="1"/>
    <col min="15376" max="15376" width="4.28515625" style="5" hidden="1"/>
    <col min="15377" max="15377" width="10.5703125" style="5" hidden="1"/>
    <col min="15378" max="15378" width="2.28515625" style="5" hidden="1"/>
    <col min="15379" max="15379" width="6.7109375" style="5" hidden="1"/>
    <col min="15380" max="15380" width="13" style="5" hidden="1"/>
    <col min="15381" max="15381" width="3.42578125" style="5" hidden="1"/>
    <col min="15382" max="15382" width="4.140625" style="5" hidden="1"/>
    <col min="15383" max="15383" width="11.7109375" style="5" hidden="1"/>
    <col min="15384" max="15616" width="9.140625" style="5" hidden="1"/>
    <col min="15617" max="15617" width="11" style="5" hidden="1"/>
    <col min="15618" max="15618" width="4.7109375" style="5" hidden="1"/>
    <col min="15619" max="15619" width="7.7109375" style="5" hidden="1"/>
    <col min="15620" max="15620" width="7.5703125" style="5" hidden="1"/>
    <col min="15621" max="15621" width="4.7109375" style="5" hidden="1"/>
    <col min="15622" max="15622" width="3.7109375" style="5" hidden="1"/>
    <col min="15623" max="15623" width="4.28515625" style="5" hidden="1"/>
    <col min="15624" max="15624" width="30.28515625" style="5" hidden="1"/>
    <col min="15625" max="15625" width="6" style="5" hidden="1"/>
    <col min="15626" max="15626" width="4.140625" style="5" hidden="1"/>
    <col min="15627" max="15627" width="2.85546875" style="5" hidden="1"/>
    <col min="15628" max="15628" width="6.7109375" style="5" hidden="1"/>
    <col min="15629" max="15629" width="2.5703125" style="5" hidden="1"/>
    <col min="15630" max="15630" width="1.42578125" style="5" hidden="1"/>
    <col min="15631" max="15631" width="4.85546875" style="5" hidden="1"/>
    <col min="15632" max="15632" width="4.28515625" style="5" hidden="1"/>
    <col min="15633" max="15633" width="10.5703125" style="5" hidden="1"/>
    <col min="15634" max="15634" width="2.28515625" style="5" hidden="1"/>
    <col min="15635" max="15635" width="6.7109375" style="5" hidden="1"/>
    <col min="15636" max="15636" width="13" style="5" hidden="1"/>
    <col min="15637" max="15637" width="3.42578125" style="5" hidden="1"/>
    <col min="15638" max="15638" width="4.140625" style="5" hidden="1"/>
    <col min="15639" max="15639" width="11.7109375" style="5" hidden="1"/>
    <col min="15640" max="15872" width="9.140625" style="5" hidden="1"/>
    <col min="15873" max="15873" width="11" style="5" hidden="1"/>
    <col min="15874" max="15874" width="4.7109375" style="5" hidden="1"/>
    <col min="15875" max="15875" width="7.7109375" style="5" hidden="1"/>
    <col min="15876" max="15876" width="7.5703125" style="5" hidden="1"/>
    <col min="15877" max="15877" width="4.7109375" style="5" hidden="1"/>
    <col min="15878" max="15878" width="3.7109375" style="5" hidden="1"/>
    <col min="15879" max="15879" width="4.28515625" style="5" hidden="1"/>
    <col min="15880" max="15880" width="30.28515625" style="5" hidden="1"/>
    <col min="15881" max="15881" width="6" style="5" hidden="1"/>
    <col min="15882" max="15882" width="4.140625" style="5" hidden="1"/>
    <col min="15883" max="15883" width="2.85546875" style="5" hidden="1"/>
    <col min="15884" max="15884" width="6.7109375" style="5" hidden="1"/>
    <col min="15885" max="15885" width="2.5703125" style="5" hidden="1"/>
    <col min="15886" max="15886" width="1.42578125" style="5" hidden="1"/>
    <col min="15887" max="15887" width="4.85546875" style="5" hidden="1"/>
    <col min="15888" max="15888" width="4.28515625" style="5" hidden="1"/>
    <col min="15889" max="15889" width="10.5703125" style="5" hidden="1"/>
    <col min="15890" max="15890" width="2.28515625" style="5" hidden="1"/>
    <col min="15891" max="15891" width="6.7109375" style="5" hidden="1"/>
    <col min="15892" max="15892" width="13" style="5" hidden="1"/>
    <col min="15893" max="15893" width="3.42578125" style="5" hidden="1"/>
    <col min="15894" max="15894" width="4.140625" style="5" hidden="1"/>
    <col min="15895" max="15895" width="11.7109375" style="5" hidden="1"/>
    <col min="15896" max="16128" width="9.140625" style="5" hidden="1"/>
    <col min="16129" max="16129" width="11" style="5" hidden="1"/>
    <col min="16130" max="16130" width="4.7109375" style="5" hidden="1"/>
    <col min="16131" max="16131" width="7.7109375" style="5" hidden="1"/>
    <col min="16132" max="16132" width="7.5703125" style="5" hidden="1"/>
    <col min="16133" max="16133" width="4.7109375" style="5" hidden="1"/>
    <col min="16134" max="16134" width="3.7109375" style="5" hidden="1"/>
    <col min="16135" max="16135" width="4.28515625" style="5" hidden="1"/>
    <col min="16136" max="16136" width="30.28515625" style="5" hidden="1"/>
    <col min="16137" max="16137" width="6" style="5" hidden="1"/>
    <col min="16138" max="16138" width="4.140625" style="5" hidden="1"/>
    <col min="16139" max="16139" width="2.85546875" style="5" hidden="1"/>
    <col min="16140" max="16140" width="6.7109375" style="5" hidden="1"/>
    <col min="16141" max="16141" width="2.5703125" style="5" hidden="1"/>
    <col min="16142" max="16142" width="1.42578125" style="5" hidden="1"/>
    <col min="16143" max="16143" width="4.85546875" style="5" hidden="1"/>
    <col min="16144" max="16144" width="4.28515625" style="5" hidden="1"/>
    <col min="16145" max="16145" width="10.5703125" style="5" hidden="1"/>
    <col min="16146" max="16146" width="2.28515625" style="5" hidden="1"/>
    <col min="16147" max="16147" width="6.7109375" style="5" hidden="1"/>
    <col min="16148" max="16148" width="13" style="5" hidden="1"/>
    <col min="16149" max="16149" width="3.42578125" style="5" hidden="1"/>
    <col min="16150" max="16150" width="4.140625" style="5" hidden="1"/>
    <col min="16151" max="16151" width="11.7109375" style="5" hidden="1"/>
    <col min="16152" max="16384" width="9.140625" style="5" hidden="1"/>
  </cols>
  <sheetData>
    <row r="1" spans="7:25" ht="15.75" thickBot="1"/>
    <row r="2" spans="7:25" ht="12" customHeight="1">
      <c r="G2" s="7"/>
      <c r="H2" s="8"/>
      <c r="I2" s="8"/>
      <c r="J2" s="8"/>
      <c r="K2" s="8"/>
      <c r="L2" s="8"/>
      <c r="M2" s="8"/>
      <c r="N2" s="8"/>
      <c r="O2" s="9"/>
      <c r="P2" s="8"/>
      <c r="Q2" s="8"/>
      <c r="R2" s="8"/>
      <c r="S2" s="8"/>
      <c r="T2" s="8"/>
      <c r="U2" s="8"/>
      <c r="V2" s="8"/>
      <c r="W2" s="10"/>
    </row>
    <row r="3" spans="7:25" ht="21" customHeight="1">
      <c r="G3" s="11"/>
      <c r="H3" s="12"/>
      <c r="I3" s="143" t="s">
        <v>61</v>
      </c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4"/>
    </row>
    <row r="4" spans="7:25" ht="20.25" customHeight="1">
      <c r="G4" s="11"/>
      <c r="H4" s="12"/>
      <c r="I4" s="145" t="s">
        <v>62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6"/>
    </row>
    <row r="5" spans="7:25" ht="12" customHeight="1">
      <c r="G5" s="11"/>
      <c r="H5" s="12"/>
      <c r="I5" s="147" t="s">
        <v>63</v>
      </c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9"/>
      <c r="Y5" s="13"/>
    </row>
    <row r="6" spans="7:25" ht="12" customHeight="1">
      <c r="G6" s="11"/>
      <c r="H6" s="12"/>
      <c r="I6" s="148" t="s">
        <v>64</v>
      </c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9"/>
      <c r="Y6" s="14"/>
    </row>
    <row r="7" spans="7:25" ht="15" customHeight="1">
      <c r="G7" s="11"/>
      <c r="H7" s="12"/>
      <c r="I7" s="147" t="s">
        <v>65</v>
      </c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9"/>
      <c r="Y7" s="15"/>
    </row>
    <row r="8" spans="7:25" ht="12" customHeight="1" thickBot="1">
      <c r="G8" s="16"/>
      <c r="H8" s="17"/>
      <c r="I8" s="17"/>
      <c r="J8" s="17"/>
      <c r="K8" s="17"/>
      <c r="L8" s="17"/>
      <c r="M8" s="17"/>
      <c r="N8" s="17"/>
      <c r="O8" s="18"/>
      <c r="P8" s="17"/>
      <c r="Q8" s="17"/>
      <c r="R8" s="17"/>
      <c r="S8" s="17"/>
      <c r="T8" s="17"/>
      <c r="U8" s="17"/>
      <c r="V8" s="17"/>
      <c r="W8" s="19"/>
      <c r="Y8" s="15"/>
    </row>
    <row r="9" spans="7:25" ht="27">
      <c r="G9" s="20"/>
      <c r="H9" s="150" t="s">
        <v>66</v>
      </c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1"/>
    </row>
    <row r="10" spans="7:25" ht="27">
      <c r="G10" s="20"/>
      <c r="H10" s="150" t="s">
        <v>67</v>
      </c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1"/>
    </row>
    <row r="11" spans="7:25" s="21" customFormat="1" ht="12.75"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</row>
    <row r="12" spans="7:25" ht="18">
      <c r="G12" s="20"/>
      <c r="H12" s="23"/>
      <c r="I12" s="23"/>
      <c r="J12" s="23"/>
      <c r="K12" s="23"/>
      <c r="L12" s="23"/>
      <c r="M12" s="23"/>
      <c r="N12" s="23"/>
      <c r="O12" s="25"/>
      <c r="P12" s="23"/>
      <c r="Q12" s="23"/>
      <c r="R12" s="23"/>
      <c r="S12" s="26" t="s">
        <v>68</v>
      </c>
      <c r="T12" s="152"/>
      <c r="U12" s="152"/>
      <c r="V12" s="153"/>
      <c r="W12" s="154"/>
    </row>
    <row r="13" spans="7:25" ht="30.75" customHeight="1">
      <c r="G13" s="20"/>
      <c r="H13" s="155" t="s">
        <v>69</v>
      </c>
      <c r="I13" s="155"/>
      <c r="J13" s="155"/>
      <c r="K13" s="155"/>
      <c r="L13" s="142">
        <f>'IDENTITAS UMUM'!E6</f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</row>
    <row r="14" spans="7:25" ht="18">
      <c r="G14" s="20"/>
      <c r="H14" s="141" t="s">
        <v>11</v>
      </c>
      <c r="I14" s="141"/>
      <c r="J14" s="141"/>
      <c r="K14" s="141"/>
      <c r="L14" s="142">
        <f>'IDENTITAS UMUM'!E7</f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</row>
    <row r="15" spans="7:25" ht="18">
      <c r="G15" s="20"/>
      <c r="H15" s="141" t="s">
        <v>70</v>
      </c>
      <c r="I15" s="141"/>
      <c r="J15" s="141"/>
      <c r="K15" s="141"/>
      <c r="L15" s="142">
        <f>'IDENTITAS UMUM'!E16</f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</row>
    <row r="16" spans="7:25" ht="18">
      <c r="G16" s="20"/>
      <c r="H16" s="141" t="s">
        <v>71</v>
      </c>
      <c r="I16" s="141"/>
      <c r="J16" s="141"/>
      <c r="K16" s="141"/>
      <c r="L16" s="142">
        <f>'IDENTITAS UMUM'!E20</f>
      </c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</row>
    <row r="17" spans="7:23" ht="18">
      <c r="G17" s="20"/>
      <c r="H17" s="141" t="s">
        <v>72</v>
      </c>
      <c r="I17" s="141"/>
      <c r="J17" s="141"/>
      <c r="K17" s="141"/>
      <c r="L17" s="142">
        <f>'IDENTITAS UMUM'!E19</f>
      </c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</row>
    <row r="18" spans="7:23" ht="18">
      <c r="G18" s="20"/>
      <c r="H18" s="141" t="s">
        <v>86</v>
      </c>
      <c r="I18" s="141"/>
      <c r="J18" s="141"/>
      <c r="K18" s="141"/>
      <c r="L18" s="158">
        <f>'IDENTITAS UMUM'!E17</f>
      </c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</row>
    <row r="19" spans="7:23" ht="18">
      <c r="G19" s="20"/>
      <c r="H19" s="141" t="s">
        <v>36</v>
      </c>
      <c r="I19" s="141"/>
      <c r="J19" s="141"/>
      <c r="K19" s="141"/>
      <c r="L19" s="158">
        <f>'IDENTITAS UMUM'!E18</f>
      </c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</row>
    <row r="20" spans="7:23" ht="18">
      <c r="G20" s="20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9"/>
    </row>
    <row r="21" spans="7:23" ht="18" customHeight="1">
      <c r="G21" s="20"/>
      <c r="H21" s="159" t="s">
        <v>73</v>
      </c>
      <c r="I21" s="159"/>
      <c r="J21" s="159"/>
      <c r="K21" s="159"/>
      <c r="L21" s="30" t="s">
        <v>74</v>
      </c>
      <c r="M21" s="160" t="inlineStr">
        <is>
          <t>12-10-2026</t>
        </is>
      </c>
      <c r="N21" s="160"/>
      <c r="O21" s="160"/>
      <c r="P21" s="160"/>
      <c r="Q21" s="30"/>
      <c r="R21" s="30"/>
      <c r="S21" s="30"/>
      <c r="T21" s="30"/>
      <c r="U21" s="30"/>
      <c r="V21" s="30"/>
      <c r="W21" s="24"/>
    </row>
    <row r="22" spans="7:23" ht="16.5" thickBot="1">
      <c r="G22" s="20"/>
      <c r="H22" s="2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4"/>
    </row>
    <row r="23" spans="7:23" ht="54" customHeight="1" thickBot="1">
      <c r="G23" s="20"/>
      <c r="H23" s="161" t="s">
        <v>75</v>
      </c>
      <c r="I23" s="162"/>
      <c r="J23" s="162"/>
      <c r="K23" s="162"/>
      <c r="L23" s="163">
        <f>Q40</f>
      </c>
      <c r="M23" s="164"/>
      <c r="N23" s="165" t="s">
        <v>76</v>
      </c>
      <c r="O23" s="165"/>
      <c r="P23" s="165"/>
      <c r="Q23" s="165"/>
      <c r="R23" s="166" t="s">
        <v>77</v>
      </c>
      <c r="S23" s="167"/>
      <c r="T23" s="167"/>
      <c r="U23" s="168">
        <f>'[1]TKT Farmasi'!Q11</f>
      </c>
      <c r="V23" s="169"/>
      <c r="W23" s="31"/>
    </row>
    <row r="24" spans="7:23" s="21" customFormat="1" ht="13.5" thickBot="1">
      <c r="G24" s="22"/>
      <c r="H24" s="32"/>
      <c r="I24" s="32"/>
      <c r="J24" s="32"/>
      <c r="K24" s="32"/>
      <c r="L24" s="32"/>
      <c r="M24" s="33"/>
      <c r="N24" s="33"/>
      <c r="O24" s="33"/>
      <c r="P24" s="33"/>
      <c r="Q24" s="33"/>
      <c r="R24" s="23"/>
      <c r="S24" s="23"/>
      <c r="T24" s="23"/>
      <c r="U24" s="23"/>
      <c r="V24" s="23"/>
      <c r="W24" s="24"/>
    </row>
    <row r="25" spans="7:23" ht="20.25">
      <c r="G25" s="20"/>
      <c r="H25" s="34" t="s">
        <v>78</v>
      </c>
      <c r="I25" s="12"/>
      <c r="J25" s="35"/>
      <c r="K25" s="36"/>
      <c r="L25" s="37"/>
      <c r="M25" s="37"/>
      <c r="N25" s="37"/>
      <c r="O25" s="37"/>
      <c r="P25" s="37"/>
      <c r="Q25" s="37"/>
      <c r="R25" s="37"/>
      <c r="S25" s="37"/>
      <c r="T25" s="37"/>
      <c r="U25" s="36"/>
      <c r="V25" s="38"/>
      <c r="W25" s="39"/>
    </row>
    <row r="26" spans="7:23" ht="21" customHeight="1">
      <c r="G26" s="20"/>
      <c r="H26" s="12"/>
      <c r="I26" s="12"/>
      <c r="J26" s="40"/>
      <c r="K26" s="41"/>
      <c r="L26" s="42"/>
      <c r="M26" s="42"/>
      <c r="N26" s="42"/>
      <c r="O26" s="42"/>
      <c r="P26" s="42"/>
      <c r="Q26" s="42"/>
      <c r="R26" s="42"/>
      <c r="S26" s="42"/>
      <c r="T26" s="42"/>
      <c r="U26" s="41"/>
      <c r="V26" s="43"/>
      <c r="W26" s="39"/>
    </row>
    <row r="27" spans="7:23" ht="92.25" customHeight="1" thickBot="1">
      <c r="G27" s="20"/>
      <c r="H27" s="44" t="s">
        <v>78</v>
      </c>
      <c r="I27" s="12"/>
      <c r="J27" s="45"/>
      <c r="K27" s="46"/>
      <c r="L27" s="170" t="s">
        <v>79</v>
      </c>
      <c r="M27" s="171"/>
      <c r="N27" s="171"/>
      <c r="O27" s="171"/>
      <c r="P27" s="171"/>
      <c r="Q27" s="171"/>
      <c r="R27" s="171"/>
      <c r="S27" s="171"/>
      <c r="T27" s="172"/>
      <c r="U27" s="46"/>
      <c r="V27" s="47"/>
      <c r="W27" s="39"/>
    </row>
    <row r="28" spans="7:23" ht="15.75">
      <c r="G28" s="20"/>
      <c r="H28" s="44"/>
      <c r="I28" s="12"/>
      <c r="J28" s="45"/>
      <c r="K28" s="46"/>
      <c r="L28" s="48"/>
      <c r="M28" s="48"/>
      <c r="N28" s="48"/>
      <c r="O28" s="48"/>
      <c r="P28" s="48"/>
      <c r="Q28" s="48"/>
      <c r="R28" s="48"/>
      <c r="S28" s="48"/>
      <c r="T28" s="48"/>
      <c r="U28" s="49"/>
      <c r="V28" s="47"/>
      <c r="W28" s="39"/>
    </row>
    <row r="29" spans="7:23" ht="15.75" thickBot="1">
      <c r="G29" s="20"/>
      <c r="H29" s="44"/>
      <c r="I29" s="12"/>
      <c r="J29" s="45"/>
      <c r="K29" s="46"/>
      <c r="L29" s="50"/>
      <c r="M29" s="50"/>
      <c r="N29" s="50"/>
      <c r="O29" s="51"/>
      <c r="P29" s="50"/>
      <c r="Q29" s="52"/>
      <c r="R29" s="50"/>
      <c r="S29" s="50"/>
      <c r="T29" s="50"/>
      <c r="U29" s="46"/>
      <c r="V29" s="47"/>
      <c r="W29" s="39"/>
    </row>
    <row r="30" spans="7:23" ht="30" customHeight="1">
      <c r="G30" s="20"/>
      <c r="H30" s="44"/>
      <c r="I30" s="12"/>
      <c r="J30" s="45"/>
      <c r="K30" s="46"/>
      <c r="L30" s="173" t="s">
        <v>78</v>
      </c>
      <c r="M30" s="53"/>
      <c r="N30" s="53"/>
      <c r="O30" s="54">
        <v>9</v>
      </c>
      <c r="P30" s="55"/>
      <c r="Q30" s="56" t="s">
        <v>78</v>
      </c>
      <c r="R30" s="55"/>
      <c r="S30" s="57">
        <v>9</v>
      </c>
      <c r="T30" s="50"/>
      <c r="U30" s="46"/>
      <c r="V30" s="47"/>
      <c r="W30" s="39"/>
    </row>
    <row r="31" spans="7:23" ht="30" customHeight="1">
      <c r="G31" s="20"/>
      <c r="H31" s="44"/>
      <c r="I31" s="12"/>
      <c r="J31" s="45"/>
      <c r="K31" s="46"/>
      <c r="L31" s="173"/>
      <c r="M31" s="53"/>
      <c r="N31" s="53"/>
      <c r="O31" s="54">
        <v>8</v>
      </c>
      <c r="P31" s="55"/>
      <c r="Q31" s="58" t="s">
        <v>78</v>
      </c>
      <c r="R31" s="55"/>
      <c r="S31" s="57">
        <v>8</v>
      </c>
      <c r="T31" s="50"/>
      <c r="U31" s="46"/>
      <c r="V31" s="47"/>
      <c r="W31" s="39"/>
    </row>
    <row r="32" spans="7:23" ht="30" customHeight="1">
      <c r="G32" s="20"/>
      <c r="H32" s="44"/>
      <c r="I32" s="12"/>
      <c r="J32" s="45"/>
      <c r="K32" s="46"/>
      <c r="L32" s="173"/>
      <c r="M32" s="53"/>
      <c r="N32" s="53"/>
      <c r="O32" s="54">
        <v>7</v>
      </c>
      <c r="P32" s="55"/>
      <c r="Q32" s="58" t="s">
        <v>78</v>
      </c>
      <c r="R32" s="55"/>
      <c r="S32" s="57">
        <v>7</v>
      </c>
      <c r="T32" s="50"/>
      <c r="U32" s="46"/>
      <c r="V32" s="47"/>
      <c r="W32" s="39"/>
    </row>
    <row r="33" spans="2:24" ht="30" customHeight="1">
      <c r="G33" s="20"/>
      <c r="H33" s="44"/>
      <c r="I33" s="12"/>
      <c r="J33" s="45"/>
      <c r="K33" s="46"/>
      <c r="L33" s="173"/>
      <c r="M33" s="53"/>
      <c r="N33" s="53"/>
      <c r="O33" s="54">
        <v>6</v>
      </c>
      <c r="P33" s="55"/>
      <c r="Q33" s="58" t="s">
        <v>78</v>
      </c>
      <c r="R33" s="55"/>
      <c r="S33" s="57">
        <v>6</v>
      </c>
      <c r="T33" s="50"/>
      <c r="U33" s="46"/>
      <c r="V33" s="47"/>
      <c r="W33" s="39"/>
    </row>
    <row r="34" spans="2:24" ht="30" customHeight="1">
      <c r="G34" s="20"/>
      <c r="H34" s="44"/>
      <c r="I34" s="12"/>
      <c r="J34" s="45"/>
      <c r="K34" s="46"/>
      <c r="L34" s="173"/>
      <c r="M34" s="53"/>
      <c r="N34" s="53"/>
      <c r="O34" s="54">
        <v>5</v>
      </c>
      <c r="P34" s="55"/>
      <c r="Q34" s="58" t="s">
        <v>78</v>
      </c>
      <c r="R34" s="55"/>
      <c r="S34" s="57">
        <v>5</v>
      </c>
      <c r="T34" s="50"/>
      <c r="U34" s="46"/>
      <c r="V34" s="47"/>
      <c r="W34" s="39"/>
    </row>
    <row r="35" spans="2:24" ht="30" customHeight="1">
      <c r="G35" s="20"/>
      <c r="H35" s="12"/>
      <c r="I35" s="12"/>
      <c r="J35" s="45"/>
      <c r="K35" s="46"/>
      <c r="L35" s="173"/>
      <c r="M35" s="53"/>
      <c r="N35" s="53"/>
      <c r="O35" s="54">
        <v>4</v>
      </c>
      <c r="P35" s="55"/>
      <c r="Q35" s="58" t="s">
        <v>78</v>
      </c>
      <c r="R35" s="55"/>
      <c r="S35" s="57">
        <v>4</v>
      </c>
      <c r="T35" s="50"/>
      <c r="U35" s="46"/>
      <c r="V35" s="47"/>
      <c r="W35" s="39"/>
    </row>
    <row r="36" spans="2:24" ht="30" customHeight="1">
      <c r="G36" s="20"/>
      <c r="H36" s="12"/>
      <c r="I36" s="12"/>
      <c r="J36" s="45"/>
      <c r="K36" s="46"/>
      <c r="L36" s="173"/>
      <c r="M36" s="53"/>
      <c r="N36" s="53"/>
      <c r="O36" s="54">
        <v>3</v>
      </c>
      <c r="P36" s="55"/>
      <c r="Q36" s="58" t="s">
        <v>78</v>
      </c>
      <c r="R36" s="55"/>
      <c r="S36" s="57">
        <v>3</v>
      </c>
      <c r="T36" s="50"/>
      <c r="U36" s="46"/>
      <c r="V36" s="47"/>
      <c r="W36" s="39"/>
    </row>
    <row r="37" spans="2:24" ht="30" customHeight="1">
      <c r="G37" s="20"/>
      <c r="H37" s="12"/>
      <c r="I37" s="12"/>
      <c r="J37" s="45"/>
      <c r="K37" s="46"/>
      <c r="L37" s="173"/>
      <c r="M37" s="53"/>
      <c r="N37" s="53"/>
      <c r="O37" s="54">
        <v>2</v>
      </c>
      <c r="P37" s="55"/>
      <c r="Q37" s="58" t="s">
        <v>78</v>
      </c>
      <c r="R37" s="55"/>
      <c r="S37" s="57">
        <v>2</v>
      </c>
      <c r="T37" s="50"/>
      <c r="U37" s="46"/>
      <c r="V37" s="47"/>
      <c r="W37" s="39"/>
    </row>
    <row r="38" spans="2:24" ht="30" customHeight="1" thickBot="1">
      <c r="G38" s="20"/>
      <c r="H38" s="12"/>
      <c r="I38" s="12"/>
      <c r="J38" s="45"/>
      <c r="K38" s="46"/>
      <c r="L38" s="173"/>
      <c r="M38" s="53"/>
      <c r="N38" s="53"/>
      <c r="O38" s="54">
        <v>1</v>
      </c>
      <c r="P38" s="55"/>
      <c r="Q38" s="59" t="s">
        <v>78</v>
      </c>
      <c r="R38" s="55"/>
      <c r="S38" s="57">
        <v>1</v>
      </c>
      <c r="T38" s="50"/>
      <c r="U38" s="46"/>
      <c r="V38" s="47"/>
      <c r="W38" s="39"/>
    </row>
    <row r="39" spans="2:24" ht="15.75" thickBot="1">
      <c r="G39" s="20" t="s">
        <v>78</v>
      </c>
      <c r="H39" s="12"/>
      <c r="I39" s="12"/>
      <c r="J39" s="45"/>
      <c r="K39" s="46"/>
      <c r="L39" s="50"/>
      <c r="M39" s="50"/>
      <c r="N39" s="50"/>
      <c r="O39" s="51"/>
      <c r="P39" s="50"/>
      <c r="Q39" s="50"/>
      <c r="R39" s="50"/>
      <c r="S39" s="50"/>
      <c r="T39" s="50"/>
      <c r="U39" s="46"/>
      <c r="V39" s="47"/>
      <c r="W39" s="39"/>
    </row>
    <row r="40" spans="2:24" ht="51.75" customHeight="1" thickTop="1" thickBot="1">
      <c r="G40" s="20"/>
      <c r="H40" s="12"/>
      <c r="I40" s="12"/>
      <c r="J40" s="45"/>
      <c r="K40" s="46"/>
      <c r="L40" s="174" t="s">
        <v>80</v>
      </c>
      <c r="M40" s="174"/>
      <c r="N40" s="174"/>
      <c r="O40" s="174"/>
      <c r="P40" s="60" t="s">
        <v>81</v>
      </c>
      <c r="Q40" s="61">
        <f>+MAX(C46:C54)</f>
      </c>
      <c r="R40" s="62"/>
      <c r="S40" s="62"/>
      <c r="T40" s="50"/>
      <c r="U40" s="46"/>
      <c r="V40" s="47"/>
      <c r="W40" s="39"/>
    </row>
    <row r="41" spans="2:24" s="63" customFormat="1" ht="15.75" thickTop="1">
      <c r="G41" s="64"/>
      <c r="H41" s="65"/>
      <c r="I41" s="65"/>
      <c r="J41" s="40"/>
      <c r="K41" s="66"/>
      <c r="L41" s="67"/>
      <c r="M41" s="68"/>
      <c r="N41" s="68"/>
      <c r="O41" s="68"/>
      <c r="P41" s="69"/>
      <c r="Q41" s="70"/>
      <c r="R41" s="71"/>
      <c r="S41" s="71"/>
      <c r="T41" s="66"/>
      <c r="U41" s="66"/>
      <c r="V41" s="43"/>
      <c r="W41" s="72"/>
    </row>
    <row r="42" spans="2:24" ht="15.75" thickBot="1">
      <c r="D42" s="156" t="s">
        <v>78</v>
      </c>
      <c r="E42" s="156"/>
      <c r="F42" s="73"/>
      <c r="G42" s="74"/>
      <c r="H42" s="75"/>
      <c r="I42" s="75"/>
      <c r="J42" s="76"/>
      <c r="K42" s="77"/>
      <c r="L42" s="78"/>
      <c r="M42" s="78"/>
      <c r="N42" s="78"/>
      <c r="O42" s="79"/>
      <c r="P42" s="78"/>
      <c r="Q42" s="78"/>
      <c r="R42" s="78"/>
      <c r="S42" s="78"/>
      <c r="T42" s="78"/>
      <c r="U42" s="78"/>
      <c r="V42" s="80"/>
      <c r="W42" s="39"/>
    </row>
    <row r="43" spans="2:24">
      <c r="D43" s="73"/>
      <c r="E43" s="73"/>
      <c r="F43" s="73"/>
      <c r="G43" s="74"/>
      <c r="H43" s="75"/>
      <c r="I43" s="75"/>
      <c r="J43" s="81"/>
      <c r="K43" s="81"/>
      <c r="L43" s="82"/>
      <c r="M43" s="82"/>
      <c r="N43" s="82"/>
      <c r="O43" s="83"/>
      <c r="P43" s="82"/>
      <c r="Q43" s="82"/>
      <c r="R43" s="82"/>
      <c r="S43" s="82"/>
      <c r="T43" s="82"/>
      <c r="U43" s="82"/>
      <c r="V43" s="82"/>
      <c r="W43" s="39"/>
    </row>
    <row r="44" spans="2:24">
      <c r="D44" s="73"/>
      <c r="E44" s="73"/>
      <c r="F44" s="73"/>
      <c r="G44" s="84"/>
      <c r="H44" s="85"/>
      <c r="I44" s="85"/>
      <c r="J44" s="86"/>
      <c r="K44" s="86"/>
      <c r="L44" s="87"/>
      <c r="M44" s="87"/>
      <c r="N44" s="87"/>
      <c r="O44" s="88"/>
      <c r="P44" s="87"/>
      <c r="Q44" s="87"/>
      <c r="R44" s="87"/>
      <c r="S44" s="87"/>
      <c r="T44" s="87"/>
      <c r="U44" s="87"/>
      <c r="V44" s="87"/>
      <c r="W44" s="89"/>
    </row>
    <row r="45" spans="2:24">
      <c r="D45" s="73"/>
      <c r="E45" s="73"/>
      <c r="F45" s="73"/>
      <c r="G45" s="90"/>
      <c r="H45" s="90"/>
      <c r="I45" s="90"/>
      <c r="J45" s="91"/>
      <c r="K45" s="91"/>
      <c r="L45" s="92"/>
      <c r="M45" s="92"/>
      <c r="N45" s="92"/>
      <c r="O45" s="93"/>
      <c r="P45" s="92"/>
      <c r="Q45" s="92"/>
      <c r="R45" s="92"/>
      <c r="S45" s="92"/>
      <c r="T45" s="92"/>
      <c r="U45" s="92"/>
      <c r="V45" s="92"/>
      <c r="W45" s="94"/>
    </row>
    <row r="46" spans="2:24" hidden="1">
      <c r="B46" s="95">
        <f t="shared" ref="B46:B54" si="0">IF(OR(C46&gt;0,D46&gt;80%,),C46,0)</f>
      </c>
      <c r="C46" s="96">
        <f t="shared" ref="C46:C51" si="1">IF(AND($C$58&lt;=D46,D46&lt;=100%,D47&gt;=$C$58,D48&gt;=$C$58),E46,0)</f>
      </c>
      <c r="D46" s="103">
        <f>'PENGUKURAN TKT SOFTWARE'!E62</f>
      </c>
      <c r="E46" s="97">
        <v>9</v>
      </c>
      <c r="F46" s="97"/>
      <c r="G46" s="98"/>
      <c r="H46" s="98"/>
      <c r="I46" s="98"/>
      <c r="J46" s="98"/>
      <c r="K46" s="98"/>
      <c r="L46" s="12"/>
      <c r="M46" s="12"/>
      <c r="N46" s="12"/>
      <c r="O46" s="99"/>
      <c r="P46" s="12"/>
      <c r="Q46" s="100" t="s">
        <v>78</v>
      </c>
      <c r="R46" s="12"/>
      <c r="S46" s="12"/>
      <c r="T46" s="12"/>
      <c r="U46" s="12"/>
      <c r="V46" s="12"/>
      <c r="W46" s="12"/>
    </row>
    <row r="47" spans="2:24" ht="12.75" hidden="1" customHeight="1">
      <c r="B47" s="95">
        <f t="shared" si="0"/>
      </c>
      <c r="C47" s="96">
        <f>IF(AND($C$58&lt;=D47,D47&lt;=100%,D48&gt;=$C$58,D49&gt;=$C$58),E47,0)</f>
      </c>
      <c r="D47" s="103">
        <f>'PENGUKURAN TKT SOFTWARE'!E53</f>
      </c>
      <c r="E47" s="97">
        <v>8</v>
      </c>
      <c r="F47" s="97"/>
      <c r="G47" s="98"/>
      <c r="H47" s="98"/>
      <c r="I47" s="98"/>
      <c r="J47" s="98"/>
      <c r="K47" s="98"/>
      <c r="L47" s="12"/>
      <c r="M47" s="12"/>
      <c r="N47" s="12"/>
      <c r="O47" s="99"/>
      <c r="P47" s="12"/>
      <c r="Q47" s="101" t="s">
        <v>78</v>
      </c>
      <c r="R47" s="12"/>
      <c r="S47" s="12"/>
      <c r="T47" s="12"/>
      <c r="U47" s="12"/>
      <c r="V47" s="12"/>
      <c r="W47" s="12"/>
      <c r="X47" s="5" t="s">
        <v>78</v>
      </c>
    </row>
    <row r="48" spans="2:24" ht="12.75" hidden="1" customHeight="1">
      <c r="B48" s="95">
        <f t="shared" si="0"/>
      </c>
      <c r="C48" s="96">
        <f t="shared" si="1"/>
      </c>
      <c r="D48" s="103">
        <f>'PENGUKURAN TKT SOFTWARE'!E47</f>
      </c>
      <c r="E48" s="97">
        <v>7</v>
      </c>
      <c r="F48" s="97"/>
      <c r="G48" s="97"/>
      <c r="H48" s="97"/>
      <c r="I48" s="97"/>
      <c r="J48" s="97"/>
      <c r="K48" s="97"/>
      <c r="Q48" s="102" t="s">
        <v>78</v>
      </c>
    </row>
    <row r="49" spans="1:17" ht="12.75" hidden="1" customHeight="1">
      <c r="B49" s="95">
        <f t="shared" si="0"/>
      </c>
      <c r="C49" s="96">
        <f t="shared" si="1"/>
      </c>
      <c r="D49" s="103">
        <f>'PENGUKURAN TKT SOFTWARE'!E42</f>
      </c>
      <c r="E49" s="97">
        <v>6</v>
      </c>
      <c r="F49" s="97"/>
      <c r="G49" s="97"/>
      <c r="H49" s="97"/>
      <c r="I49" s="97"/>
      <c r="J49" s="97"/>
      <c r="K49" s="97"/>
      <c r="Q49" s="102" t="s">
        <v>78</v>
      </c>
    </row>
    <row r="50" spans="1:17" ht="12.75" hidden="1" customHeight="1">
      <c r="B50" s="95">
        <f t="shared" si="0"/>
      </c>
      <c r="C50" s="96">
        <f>IF(AND($C$58&lt;=D50,D50&lt;=100%,D51&gt;=$C$58,D52&gt;=$C$58),E50,0)</f>
      </c>
      <c r="D50" s="103">
        <f>'PENGUKURAN TKT SOFTWARE'!E37</f>
      </c>
      <c r="E50" s="97">
        <v>5</v>
      </c>
      <c r="F50" s="97"/>
      <c r="G50" s="97"/>
      <c r="H50" s="97"/>
      <c r="I50" s="97"/>
      <c r="J50" s="97"/>
      <c r="K50" s="97"/>
      <c r="O50" s="5"/>
    </row>
    <row r="51" spans="1:17" hidden="1">
      <c r="B51" s="95">
        <f t="shared" si="0"/>
      </c>
      <c r="C51" s="96">
        <f t="shared" si="1"/>
      </c>
      <c r="D51" s="103">
        <f>'PENGUKURAN TKT SOFTWARE'!E28</f>
      </c>
      <c r="E51" s="97">
        <v>4</v>
      </c>
      <c r="F51" s="97"/>
      <c r="G51" s="97"/>
      <c r="H51" s="97"/>
      <c r="I51" s="97"/>
      <c r="J51" s="97"/>
      <c r="K51" s="97"/>
      <c r="O51" s="5"/>
    </row>
    <row r="52" spans="1:17" hidden="1">
      <c r="B52" s="95">
        <f>IF(OR(C52&gt;0,D52&gt;80%,),C52,0)</f>
      </c>
      <c r="C52" s="96">
        <f>IF(AND($C$58&lt;=D52,D52&lt;= 100%),E52, 0)</f>
      </c>
      <c r="D52" s="103">
        <f>'PENGUKURAN TKT SOFTWARE'!E20</f>
      </c>
      <c r="E52" s="97">
        <v>3</v>
      </c>
      <c r="F52" s="97"/>
      <c r="G52" s="97"/>
      <c r="H52" s="97"/>
      <c r="I52" s="97"/>
      <c r="J52" s="97"/>
      <c r="K52" s="97"/>
      <c r="O52" s="5"/>
    </row>
    <row r="53" spans="1:17" hidden="1">
      <c r="B53" s="95">
        <f t="shared" si="0"/>
      </c>
      <c r="C53" s="96">
        <f>IF(AND($C$58&lt;=D53,D53&lt;= 100%,$C$54&gt;=$C$58),E53, 0)</f>
      </c>
      <c r="D53" s="103">
        <f>'PENGUKURAN TKT SOFTWARE'!E14</f>
      </c>
      <c r="E53" s="97">
        <v>2</v>
      </c>
      <c r="F53" s="97"/>
      <c r="G53" s="97"/>
      <c r="H53" s="97"/>
      <c r="I53" s="97"/>
      <c r="J53" s="97"/>
      <c r="K53" s="97"/>
      <c r="O53" s="5"/>
    </row>
    <row r="54" spans="1:17" hidden="1">
      <c r="B54" s="95">
        <f t="shared" si="0"/>
      </c>
      <c r="C54" s="96">
        <f>IF(AND($C$58&lt;=D54,D54&lt;=100%),E54,0)</f>
      </c>
      <c r="D54" s="103">
        <f>'PENGUKURAN TKT SOFTWARE'!E8</f>
      </c>
      <c r="E54" s="97">
        <v>1</v>
      </c>
      <c r="F54" s="97"/>
      <c r="G54" s="97"/>
      <c r="H54" s="97"/>
      <c r="I54" s="97"/>
      <c r="J54" s="97"/>
      <c r="K54" s="97"/>
      <c r="O54" s="5"/>
    </row>
    <row r="55" spans="1:17" ht="15.75" hidden="1" thickBot="1">
      <c r="O55" s="5"/>
    </row>
    <row r="56" spans="1:17" ht="15.75" hidden="1" thickBot="1">
      <c r="A56" s="5" t="s">
        <v>82</v>
      </c>
      <c r="B56" s="5" t="s">
        <v>78</v>
      </c>
      <c r="C56" s="104">
        <v>0.8</v>
      </c>
      <c r="O56" s="5"/>
    </row>
    <row r="57" spans="1:17" ht="15.75" hidden="1" thickBot="1">
      <c r="A57" s="105" t="s">
        <v>83</v>
      </c>
      <c r="C57" s="104">
        <v>1</v>
      </c>
      <c r="O57" s="5"/>
    </row>
    <row r="58" spans="1:17" hidden="1">
      <c r="C58" s="104">
        <f>IF(C56=0,1,C56)</f>
      </c>
      <c r="O58" s="5"/>
    </row>
    <row r="59" spans="1:17" hidden="1"/>
    <row r="60" spans="1:17" hidden="1"/>
    <row r="61" spans="1:17" hidden="1"/>
    <row r="62" spans="1:17" hidden="1"/>
    <row r="63" spans="1:17" hidden="1"/>
    <row r="64" spans="1:17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spans="2:18" hidden="1"/>
    <row r="194" spans="2:18" hidden="1"/>
    <row r="195" spans="2:18" hidden="1"/>
    <row r="196" spans="2:18" hidden="1"/>
    <row r="197" spans="2:18" hidden="1"/>
    <row r="198" spans="2:18" hidden="1"/>
    <row r="199" spans="2:18" hidden="1"/>
    <row r="200" spans="2:18" hidden="1"/>
    <row r="201" spans="2:18" hidden="1"/>
    <row r="202" spans="2:18" hidden="1"/>
    <row r="203" spans="2:18" hidden="1"/>
    <row r="204" spans="2:18" ht="23.25" hidden="1" customHeight="1">
      <c r="B204" s="157" t="s">
        <v>84</v>
      </c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</row>
  </sheetData>
  <sheetProtection algorithmName="SHA-512" hashValue="XP0uewlyynq4Hb8XhtBFijLpJp0FQEsXsmL0TTk0HycgBKuTFLfyOTyrl3HqqS52qkv8+X0YIwi0IlTs6wBx7g==" saltValue="Qx3+8feSbdQ18KpPh8hahw==" spinCount="100000" sheet="1" objects="1" scenarios="1"/>
  <mergeCells count="35">
    <mergeCell ref="H18:K18"/>
    <mergeCell ref="L18:W18"/>
    <mergeCell ref="L27:T27"/>
    <mergeCell ref="L30:L38"/>
    <mergeCell ref="L40:O40"/>
    <mergeCell ref="D42:E42"/>
    <mergeCell ref="B204:R204"/>
    <mergeCell ref="H19:K19"/>
    <mergeCell ref="L19:W19"/>
    <mergeCell ref="H21:K21"/>
    <mergeCell ref="M21:P21"/>
    <mergeCell ref="H23:K23"/>
    <mergeCell ref="L23:M23"/>
    <mergeCell ref="N23:Q23"/>
    <mergeCell ref="R23:T23"/>
    <mergeCell ref="U23:V23"/>
    <mergeCell ref="H15:K15"/>
    <mergeCell ref="L15:W15"/>
    <mergeCell ref="H16:K16"/>
    <mergeCell ref="L16:W16"/>
    <mergeCell ref="H17:K17"/>
    <mergeCell ref="L17:W17"/>
    <mergeCell ref="H14:K14"/>
    <mergeCell ref="L14:W14"/>
    <mergeCell ref="I3:W3"/>
    <mergeCell ref="I4:W4"/>
    <mergeCell ref="I5:W5"/>
    <mergeCell ref="I6:W6"/>
    <mergeCell ref="I7:W7"/>
    <mergeCell ref="H9:W9"/>
    <mergeCell ref="H10:W10"/>
    <mergeCell ref="T12:U12"/>
    <mergeCell ref="V12:W12"/>
    <mergeCell ref="H13:K13"/>
    <mergeCell ref="L13:W13"/>
  </mergeCells>
  <conditionalFormatting sqref="Q37">
    <cfRule type="expression" dxfId="55" priority="29" stopIfTrue="1">
      <formula>C53=2</formula>
    </cfRule>
    <cfRule type="expression" dxfId="54" priority="30" stopIfTrue="1">
      <formula>C53&lt;2</formula>
    </cfRule>
  </conditionalFormatting>
  <conditionalFormatting sqref="Q36">
    <cfRule type="expression" dxfId="53" priority="31" stopIfTrue="1">
      <formula>C52=3</formula>
    </cfRule>
    <cfRule type="expression" dxfId="52" priority="32" stopIfTrue="1">
      <formula>C52&lt;3</formula>
    </cfRule>
  </conditionalFormatting>
  <conditionalFormatting sqref="Q34">
    <cfRule type="expression" dxfId="51" priority="33" stopIfTrue="1">
      <formula>C50=5</formula>
    </cfRule>
    <cfRule type="expression" dxfId="50" priority="34" stopIfTrue="1">
      <formula>C50&lt;5</formula>
    </cfRule>
  </conditionalFormatting>
  <conditionalFormatting sqref="Q33">
    <cfRule type="expression" dxfId="49" priority="35" stopIfTrue="1">
      <formula>C49=6</formula>
    </cfRule>
    <cfRule type="expression" dxfId="48" priority="36" stopIfTrue="1">
      <formula>C49&lt;6</formula>
    </cfRule>
  </conditionalFormatting>
  <conditionalFormatting sqref="Q32">
    <cfRule type="expression" dxfId="47" priority="37" stopIfTrue="1">
      <formula>C48=7</formula>
    </cfRule>
    <cfRule type="expression" dxfId="46" priority="38" stopIfTrue="1">
      <formula>C48&lt;7</formula>
    </cfRule>
  </conditionalFormatting>
  <conditionalFormatting sqref="Q31">
    <cfRule type="expression" dxfId="45" priority="39" stopIfTrue="1">
      <formula>C47=8</formula>
    </cfRule>
    <cfRule type="expression" dxfId="44" priority="40" stopIfTrue="1">
      <formula>C47&lt;8</formula>
    </cfRule>
  </conditionalFormatting>
  <conditionalFormatting sqref="Q30">
    <cfRule type="expression" dxfId="43" priority="41" stopIfTrue="1">
      <formula>C46=9</formula>
    </cfRule>
    <cfRule type="expression" dxfId="42" priority="42" stopIfTrue="1">
      <formula>C46&lt;9</formula>
    </cfRule>
  </conditionalFormatting>
  <conditionalFormatting sqref="Q35">
    <cfRule type="expression" dxfId="41" priority="43" stopIfTrue="1">
      <formula>C51=4</formula>
    </cfRule>
    <cfRule type="expression" dxfId="40" priority="44" stopIfTrue="1">
      <formula>C51&lt;4</formula>
    </cfRule>
  </conditionalFormatting>
  <conditionalFormatting sqref="Q47:Q49">
    <cfRule type="expression" dxfId="39" priority="45" stopIfTrue="1">
      <formula>#REF!&lt;56</formula>
    </cfRule>
  </conditionalFormatting>
  <conditionalFormatting sqref="Q41">
    <cfRule type="cellIs" dxfId="38" priority="46" stopIfTrue="1" operator="between">
      <formula>7</formula>
      <formula>9</formula>
    </cfRule>
    <cfRule type="cellIs" dxfId="37" priority="47" stopIfTrue="1" operator="between">
      <formula>4</formula>
      <formula>6</formula>
    </cfRule>
    <cfRule type="cellIs" dxfId="36" priority="48" stopIfTrue="1" operator="between">
      <formula>1</formula>
      <formula>3</formula>
    </cfRule>
  </conditionalFormatting>
  <conditionalFormatting sqref="L23:M23">
    <cfRule type="cellIs" dxfId="35" priority="49" stopIfTrue="1" operator="lessThan">
      <formula>3</formula>
    </cfRule>
    <cfRule type="cellIs" dxfId="34" priority="50" stopIfTrue="1" operator="between">
      <formula>3</formula>
      <formula>7</formula>
    </cfRule>
    <cfRule type="cellIs" dxfId="33" priority="51" stopIfTrue="1" operator="lessThanOrEqual">
      <formula>9</formula>
    </cfRule>
  </conditionalFormatting>
  <conditionalFormatting sqref="Q40">
    <cfRule type="cellIs" dxfId="32" priority="52" stopIfTrue="1" operator="between">
      <formula>7</formula>
      <formula>9</formula>
    </cfRule>
    <cfRule type="cellIs" dxfId="31" priority="53" stopIfTrue="1" operator="between">
      <formula>4</formula>
      <formula>6</formula>
    </cfRule>
    <cfRule type="cellIs" dxfId="30" priority="54" stopIfTrue="1" operator="between">
      <formula>1</formula>
      <formula>3</formula>
    </cfRule>
  </conditionalFormatting>
  <conditionalFormatting sqref="Q38">
    <cfRule type="expression" dxfId="29" priority="55" stopIfTrue="1">
      <formula>C54=1</formula>
    </cfRule>
    <cfRule type="expression" dxfId="28" priority="56" stopIfTrue="1">
      <formula>C54&lt;1</formula>
    </cfRule>
  </conditionalFormatting>
  <conditionalFormatting sqref="Q37">
    <cfRule type="expression" dxfId="27" priority="27" stopIfTrue="1">
      <formula>C53=2</formula>
    </cfRule>
    <cfRule type="expression" dxfId="26" priority="28" stopIfTrue="1">
      <formula>C53&lt;2</formula>
    </cfRule>
  </conditionalFormatting>
  <conditionalFormatting sqref="Q36">
    <cfRule type="expression" dxfId="25" priority="25" stopIfTrue="1">
      <formula>C52=3</formula>
    </cfRule>
    <cfRule type="expression" dxfId="24" priority="26" stopIfTrue="1">
      <formula>C52&lt;3</formula>
    </cfRule>
  </conditionalFormatting>
  <conditionalFormatting sqref="Q34">
    <cfRule type="expression" dxfId="23" priority="23" stopIfTrue="1">
      <formula>C50=5</formula>
    </cfRule>
    <cfRule type="expression" dxfId="22" priority="24" stopIfTrue="1">
      <formula>C50&lt;5</formula>
    </cfRule>
  </conditionalFormatting>
  <conditionalFormatting sqref="Q33">
    <cfRule type="expression" dxfId="21" priority="21" stopIfTrue="1">
      <formula>C49=6</formula>
    </cfRule>
    <cfRule type="expression" dxfId="20" priority="22" stopIfTrue="1">
      <formula>C49&lt;6</formula>
    </cfRule>
  </conditionalFormatting>
  <conditionalFormatting sqref="Q32">
    <cfRule type="expression" dxfId="19" priority="19" stopIfTrue="1">
      <formula>C48=7</formula>
    </cfRule>
    <cfRule type="expression" dxfId="18" priority="20" stopIfTrue="1">
      <formula>C48&lt;7</formula>
    </cfRule>
  </conditionalFormatting>
  <conditionalFormatting sqref="Q31">
    <cfRule type="expression" dxfId="17" priority="17" stopIfTrue="1">
      <formula>C47=8</formula>
    </cfRule>
    <cfRule type="expression" dxfId="16" priority="18" stopIfTrue="1">
      <formula>C47&lt;8</formula>
    </cfRule>
  </conditionalFormatting>
  <conditionalFormatting sqref="Q30">
    <cfRule type="expression" dxfId="15" priority="15" stopIfTrue="1">
      <formula>C46=9</formula>
    </cfRule>
    <cfRule type="expression" dxfId="14" priority="16" stopIfTrue="1">
      <formula>C46&lt;9</formula>
    </cfRule>
  </conditionalFormatting>
  <conditionalFormatting sqref="Q35">
    <cfRule type="expression" dxfId="13" priority="13" stopIfTrue="1">
      <formula>C51=4</formula>
    </cfRule>
    <cfRule type="expression" dxfId="12" priority="14" stopIfTrue="1">
      <formula>C51&lt;4</formula>
    </cfRule>
  </conditionalFormatting>
  <conditionalFormatting sqref="Q47:Q49">
    <cfRule type="expression" dxfId="11" priority="12" stopIfTrue="1">
      <formula>#REF!&lt;56</formula>
    </cfRule>
  </conditionalFormatting>
  <conditionalFormatting sqref="Q41">
    <cfRule type="cellIs" dxfId="10" priority="9" stopIfTrue="1" operator="between">
      <formula>7</formula>
      <formula>9</formula>
    </cfRule>
    <cfRule type="cellIs" dxfId="9" priority="10" stopIfTrue="1" operator="between">
      <formula>4</formula>
      <formula>6</formula>
    </cfRule>
    <cfRule type="cellIs" dxfId="8" priority="11" stopIfTrue="1" operator="between">
      <formula>1</formula>
      <formula>3</formula>
    </cfRule>
  </conditionalFormatting>
  <conditionalFormatting sqref="L23:M23">
    <cfRule type="cellIs" dxfId="7" priority="6" stopIfTrue="1" operator="lessThan">
      <formula>3</formula>
    </cfRule>
    <cfRule type="cellIs" dxfId="6" priority="7" stopIfTrue="1" operator="between">
      <formula>3</formula>
      <formula>7</formula>
    </cfRule>
    <cfRule type="cellIs" dxfId="5" priority="8" stopIfTrue="1" operator="lessThanOrEqual">
      <formula>9</formula>
    </cfRule>
  </conditionalFormatting>
  <conditionalFormatting sqref="Q40">
    <cfRule type="cellIs" dxfId="4" priority="3" stopIfTrue="1" operator="between">
      <formula>7</formula>
      <formula>9</formula>
    </cfRule>
    <cfRule type="cellIs" dxfId="3" priority="4" stopIfTrue="1" operator="between">
      <formula>4</formula>
      <formula>6</formula>
    </cfRule>
    <cfRule type="cellIs" dxfId="2" priority="5" stopIfTrue="1" operator="between">
      <formula>1</formula>
      <formula>3</formula>
    </cfRule>
  </conditionalFormatting>
  <conditionalFormatting sqref="Q38">
    <cfRule type="expression" dxfId="1" priority="1" stopIfTrue="1">
      <formula>C54=1</formula>
    </cfRule>
    <cfRule type="expression" dxfId="0" priority="2" stopIfTrue="1">
      <formula>C54&lt;1</formula>
    </cfRule>
  </conditionalFormatting>
  <pageMargins left="0.7" right="0.7" top="0.75" bottom="0.75" header="0.3" footer="0.3"/>
  <pageSetup paperSize="9" orientation="portrait" fitToWidth="1" fitToHeight="0"/>
  <drawing r:id="rId1"/>
  <legacyDrawing r:id="rId2"/>
  <oleObjects>
    <mc:AlternateContent xmlns:mc="http://schemas.openxmlformats.org/markup-compatibility/2006">
      <mc:Choice Requires="x14">
        <oleObject progId="PBrush" shapeId="8194" r:id="rId3">
          <objectPr defaultSize="0" autoPict="0" r:id="rId4">
            <anchor moveWithCells="1" sizeWithCells="1">
              <from>
                <xdr:col>7</xdr:col>
                <xdr:colOff>638175</xdr:colOff>
                <xdr:row>1</xdr:row>
                <xdr:rowOff>76200</xdr:rowOff>
              </from>
              <to>
                <xdr:col>7</xdr:col>
                <xdr:colOff>1657350</xdr:colOff>
                <xdr:row>7</xdr:row>
                <xdr:rowOff>95250</xdr:rowOff>
              </to>
            </anchor>
          </objectPr>
        </oleObject>
      </mc:Choice>
      <mc:Fallback>
        <oleObject progId="PBrush" shapeId="8194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 PENELITI</vt:lpstr>
      <vt:lpstr>IDENTITAS UMUM</vt:lpstr>
      <vt:lpstr>PENGUKURAN TKT SOFTWARE</vt:lpstr>
      <vt:lpstr>RINGKASAN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NB</dc:creator>
  <cp:lastModifiedBy>USER</cp:lastModifiedBy>
  <dcterms:created xsi:type="dcterms:W3CDTF">2017-04-13T02:39:56Z</dcterms:created>
  <dcterms:modified xsi:type="dcterms:W3CDTF">2017-04-20T03:14:08Z</dcterms:modified>
</cp:coreProperties>
</file>